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7377E407-A548-4F2D-BE7D-1B4844AB5451}" xr6:coauthVersionLast="47" xr6:coauthVersionMax="47" xr10:uidLastSave="{00000000-0000-0000-0000-000000000000}"/>
  <bookViews>
    <workbookView xWindow="-108" yWindow="-108" windowWidth="23256" windowHeight="12456" activeTab="1" xr2:uid="{EF2DD244-A707-438D-927A-42720BF56869}"/>
  </bookViews>
  <sheets>
    <sheet name="pivot tables" sheetId="10" r:id="rId1"/>
    <sheet name="Dashboard" sheetId="11" r:id="rId2"/>
  </sheets>
  <definedNames>
    <definedName name="Slicer_BranchName">#N/A</definedName>
    <definedName name="Slicer_BrandName">#N/A</definedName>
    <definedName name="Slicer_Category">#N/A</definedName>
    <definedName name="Slicer_Date_Hierarchy">#N/A</definedName>
    <definedName name="Slicer_PaymentMethod">#N/A</definedName>
  </definedNames>
  <calcPr calcId="191029"/>
  <pivotCaches>
    <pivotCache cacheId="238" r:id="rId3"/>
    <pivotCache cacheId="241" r:id="rId4"/>
    <pivotCache cacheId="244" r:id="rId5"/>
    <pivotCache cacheId="247" r:id="rId6"/>
    <pivotCache cacheId="250" r:id="rId7"/>
    <pivotCache cacheId="253" r:id="rId8"/>
    <pivotCache cacheId="256" r:id="rId9"/>
    <pivotCache cacheId="259" r:id="rId10"/>
  </pivotCaches>
  <extLst>
    <ext xmlns:x14="http://schemas.microsoft.com/office/spreadsheetml/2009/9/main" uri="{876F7934-8845-4945-9796-88D515C7AA90}">
      <x14:pivotCaches>
        <pivotCache cacheId="237"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f5a8a6d5-1a13-4c52-9046-8fe614f8bbda" name="Brands" connection="Query - Brands"/>
          <x15:modelTable id="Branches_0778f571-9db6-4921-b1b2-e0049708314d" name="Branches" connection="Query - Branches"/>
          <x15:modelTable id="Customers_f8ff7c85-ede0-4400-8228-ed11d2f6eeae" name="Customers" connection="Query - Customers"/>
          <x15:modelTable id="Payment method_48fc6457-8c3e-495f-b453-e150cac860d9" name="Payment method" connection="Query - Payment method"/>
          <x15:modelTable id="Products_9ed65920-8395-4bae-acff-64f3aa12c06e" name="Products" connection="Query - Products"/>
          <x15:modelTable id="All sales_5c6f9b6a-6fac-44b2-8ae0-f4efed67a0ab" name="All sales" connection="Query - All sales"/>
          <x15:modelTable id="Calendar" name="Calendar" connection="Connection"/>
        </x15:modelTables>
        <x15:modelRelationships>
          <x15:modelRelationship fromTable="Products" fromColumn="Brand" toTable="Brands" toColumn="BrandName"/>
          <x15:modelRelationship fromTable="All sales" fromColumn="CustomerID" toTable="Customers" toColumn="CustomerID"/>
          <x15:modelRelationship fromTable="All sales" fromColumn="BranchID" toTable="Branches" toColumn="BranchID"/>
          <x15:modelRelationship fromTable="All sales" fromColumn="ProductID" toTable="Products" toColumn="ProductID"/>
          <x15:modelRelationship fromTable="All sales" fromColumn="PaymentMethod" toTable="Payment method" toColumn="PaymentMethod"/>
          <x15:modelRelationship fromTable="All sales" fromColumn="Date" toTable="Calendar" toColumn="Date"/>
        </x15:modelRelationships>
        <x15:extLst>
          <ext xmlns:x16="http://schemas.microsoft.com/office/spreadsheetml/2014/11/main" uri="{9835A34E-60A6-4A7C-AAB8-D5F71C897F49}">
            <x16:modelTimeGroupings>
              <x16:modelTimeGrouping tableName="All 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262633-1DC1-4182-8BA9-51517AB24CA5}" name="Connection" type="104" refreshedVersion="0" background="1">
    <extLst>
      <ext xmlns:x15="http://schemas.microsoft.com/office/spreadsheetml/2010/11/main" uri="{DE250136-89BD-433C-8126-D09CA5730AF9}">
        <x15:connection id="Calendar"/>
      </ext>
    </extLst>
  </connection>
  <connection id="2" xr16:uid="{C2B1DA56-22A9-4B5A-BEEE-F651EE3714DF}" name="Query - All sales" description="Connection to the 'All sales' query in the workbook." type="100" refreshedVersion="8" minRefreshableVersion="5">
    <extLst>
      <ext xmlns:x15="http://schemas.microsoft.com/office/spreadsheetml/2010/11/main" uri="{DE250136-89BD-433C-8126-D09CA5730AF9}">
        <x15:connection id="da372981-f8bf-4675-a530-bfaa881a0da5"/>
      </ext>
    </extLst>
  </connection>
  <connection id="3" xr16:uid="{519C5F5F-FE11-41D4-A44C-8929DA5FB899}" name="Query - Branches" description="Connection to the 'Branches' query in the workbook." type="100" refreshedVersion="8" minRefreshableVersion="5">
    <extLst>
      <ext xmlns:x15="http://schemas.microsoft.com/office/spreadsheetml/2010/11/main" uri="{DE250136-89BD-433C-8126-D09CA5730AF9}">
        <x15:connection id="6d588c8f-0343-49d9-a40c-85b1fcfb57f5"/>
      </ext>
    </extLst>
  </connection>
  <connection id="4" xr16:uid="{34F83F63-F091-4BD5-808F-7F99A9B0A4CE}" name="Query - Brands" description="Connection to the 'Brands' query in the workbook." type="100" refreshedVersion="8" minRefreshableVersion="5">
    <extLst>
      <ext xmlns:x15="http://schemas.microsoft.com/office/spreadsheetml/2010/11/main" uri="{DE250136-89BD-433C-8126-D09CA5730AF9}">
        <x15:connection id="f64d84e4-6138-4d0a-aef2-2641c4851cef"/>
      </ext>
    </extLst>
  </connection>
  <connection id="5" xr16:uid="{0FD377E9-322B-47D7-AF94-85F8C4D7B7A6}" name="Query - Customers" description="Connection to the 'Customers' query in the workbook." type="100" refreshedVersion="8" minRefreshableVersion="5">
    <extLst>
      <ext xmlns:x15="http://schemas.microsoft.com/office/spreadsheetml/2010/11/main" uri="{DE250136-89BD-433C-8126-D09CA5730AF9}">
        <x15:connection id="ba614850-7b5d-40e1-b75b-661941914d8d"/>
      </ext>
    </extLst>
  </connection>
  <connection id="6" xr16:uid="{E5AF1074-D85C-4FCD-9B4B-579E14C0E0E1}" name="Query - Payment method" description="Connection to the 'Payment method' query in the workbook." type="100" refreshedVersion="8" minRefreshableVersion="5">
    <extLst>
      <ext xmlns:x15="http://schemas.microsoft.com/office/spreadsheetml/2010/11/main" uri="{DE250136-89BD-433C-8126-D09CA5730AF9}">
        <x15:connection id="53abcda6-c799-4b10-9f39-70a3905631ee"/>
      </ext>
    </extLst>
  </connection>
  <connection id="7" xr16:uid="{FCF097B1-76CB-4D4F-A739-ADB53580A9C7}" name="Query - Products" description="Connection to the 'Products' query in the workbook." type="100" refreshedVersion="8" minRefreshableVersion="5">
    <extLst>
      <ext xmlns:x15="http://schemas.microsoft.com/office/spreadsheetml/2010/11/main" uri="{DE250136-89BD-433C-8126-D09CA5730AF9}">
        <x15:connection id="403042b2-7827-4c3a-9889-2a9645e86281"/>
      </ext>
    </extLst>
  </connection>
  <connection id="8" xr16:uid="{5C4FDD21-C645-4CC5-8907-0E6C5CE192F5}" keepAlive="1" name="Query - sales 2023" description="Connection to the 'sales 2023' query in the workbook." type="5" refreshedVersion="8" background="1" saveData="1">
    <dbPr connection="Provider=Microsoft.Mashup.OleDb.1;Data Source=$Workbook$;Location=&quot;sales 2023&quot;;Extended Properties=&quot;&quot;" command="SELECT * FROM [sales 2023]"/>
  </connection>
  <connection id="9" xr16:uid="{DE435522-8DF2-47E7-A49D-6FA7D4EFA8F1}" keepAlive="1" name="Query - sales 2024" description="Connection to the 'sales 2024' query in the workbook." type="5" refreshedVersion="8" background="1" saveData="1">
    <dbPr connection="Provider=Microsoft.Mashup.OleDb.1;Data Source=$Workbook$;Location=&quot;sales 2024&quot;;Extended Properties=&quot;&quot;" command="SELECT * FROM [sales 2024]"/>
  </connection>
  <connection id="10" xr16:uid="{E1FCB7F2-7B35-431E-82B6-2EF9AD631B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<sst xmlns="http://schemas.openxmlformats.org/spreadsheetml/2006/main" count="63" uniqueCount="42">
  <si>
    <t>Branch 1</t>
  </si>
  <si>
    <t>Branch 2</t>
  </si>
  <si>
    <t>Branch 3</t>
  </si>
  <si>
    <t>Branch 4</t>
  </si>
  <si>
    <t>Branch 5</t>
  </si>
  <si>
    <t>Brand A</t>
  </si>
  <si>
    <t>Brand E</t>
  </si>
  <si>
    <t>Bank Transfer</t>
  </si>
  <si>
    <t>Credit Card</t>
  </si>
  <si>
    <t>Cash</t>
  </si>
  <si>
    <t>PayPal</t>
  </si>
  <si>
    <t>Sports</t>
  </si>
  <si>
    <t>Fashion</t>
  </si>
  <si>
    <t>Row Labels</t>
  </si>
  <si>
    <t>Grand Total</t>
  </si>
  <si>
    <t>May</t>
  </si>
  <si>
    <t>Sales Per Month</t>
  </si>
  <si>
    <t>Sales Per Category</t>
  </si>
  <si>
    <t>Sales Per Branch</t>
  </si>
  <si>
    <t>Sales Per Brand</t>
  </si>
  <si>
    <t>January</t>
  </si>
  <si>
    <t>February</t>
  </si>
  <si>
    <t>March</t>
  </si>
  <si>
    <t>April</t>
  </si>
  <si>
    <t>June</t>
  </si>
  <si>
    <t>July</t>
  </si>
  <si>
    <t>August</t>
  </si>
  <si>
    <t>September</t>
  </si>
  <si>
    <t>October</t>
  </si>
  <si>
    <t>November</t>
  </si>
  <si>
    <t>December</t>
  </si>
  <si>
    <t>Sales Per Payment Method</t>
  </si>
  <si>
    <t>Column Labels</t>
  </si>
  <si>
    <t>sales per brand&amp;category</t>
  </si>
  <si>
    <t>Total Customers</t>
  </si>
  <si>
    <t>Total Sales</t>
  </si>
  <si>
    <t>Home</t>
  </si>
  <si>
    <t>Electronics</t>
  </si>
  <si>
    <t>Beauty</t>
  </si>
  <si>
    <t>Brand B</t>
  </si>
  <si>
    <t>Brand C</t>
  </si>
  <si>
    <t>Brand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</si>
</sst>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Aptos Narrow"/>
      <family val="2"/>
      <scheme val="minor"/>
    </font>
    <font>
      <b/>
      <sz val="26"/>
      <color theme="1"/>
      <name val="Aptos Narrow"/>
      <family val="2"/>
      <scheme val="minor"/>
    </font>
  </fonts>
  <fills count="4">
    <fill>
      <patternFill patternType="none"/>
    </fill>
    <fill>
      <patternFill patternType="gray125"/>
    </fill>
    <fill>
      <patternFill patternType="solid">
        <fgColor theme="8" tint="-0.249977111117893"/>
        <bgColor indexed="64"/>
      </patternFill>
    </fill>
    <fill>
      <patternFill patternType="solid">
        <fgColor rgb="FFF9EBF7"/>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applyAlignment="1">
      <alignment horizontal="center"/>
    </xf>
    <xf numFmtId="0" fontId="0" fillId="0" borderId="0" xfId="0" applyAlignment="1">
      <alignment horizontal="center"/>
    </xf>
    <xf numFmtId="3" fontId="1" fillId="0" borderId="0" xfId="0" applyNumberFormat="1" applyFont="1" applyAlignment="1">
      <alignment horizontal="center"/>
    </xf>
    <xf numFmtId="0" fontId="0" fillId="2" borderId="0" xfId="0" applyFill="1"/>
    <xf numFmtId="0" fontId="0" fillId="3" borderId="0" xfId="0" applyFill="1"/>
    <xf numFmtId="0" fontId="1" fillId="0" borderId="0" xfId="0" applyNumberFormat="1" applyFont="1" applyAlignment="1">
      <alignment horizontal="center"/>
    </xf>
  </cellXfs>
  <cellStyles count="1">
    <cellStyle name="Normal" xfId="0" builtinId="0"/>
  </cellStyles>
  <dxfs count="22">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font>
        <b/>
      </font>
    </dxf>
    <dxf>
      <font>
        <sz val="26"/>
      </font>
    </dxf>
    <dxf>
      <font>
        <b/>
      </font>
    </dxf>
    <dxf>
      <alignment horizontal="center"/>
    </dxf>
    <dxf>
      <font>
        <sz val="26"/>
      </font>
    </dxf>
    <dxf>
      <alignment horizontal="center"/>
    </dxf>
    <dxf>
      <numFmt numFmtId="164" formatCode="_(* #,##0_);_(* \(#,##0\);_(* &quot;-&quot;??_);_(@_)"/>
    </dxf>
    <dxf>
      <alignment horizontal="center"/>
    </dxf>
    <dxf>
      <font>
        <b/>
      </font>
    </dxf>
    <dxf>
      <alignment horizontal="center"/>
    </dxf>
    <dxf>
      <font>
        <sz val="26"/>
      </font>
    </dxf>
    <dxf>
      <font>
        <b/>
      </font>
    </dxf>
    <dxf>
      <font>
        <sz val="26"/>
      </font>
    </dxf>
    <dxf>
      <alignment horizontal="center"/>
    </dxf>
    <dxf>
      <font>
        <b val="0"/>
      </font>
    </dxf>
    <dxf>
      <alignment horizontal="center"/>
    </dxf>
  </dxfs>
  <tableStyles count="1" defaultTableStyle="TableStyleMedium2" defaultPivotStyle="PivotStyleLight16">
    <tableStyle name="Slicer Style 1" pivot="0" table="0" count="0" xr9:uid="{81AD1A33-0C1E-42AC-B52A-4492240322EB}"/>
  </tableStyles>
  <colors>
    <mruColors>
      <color rgb="FFF9EBF7"/>
      <color rgb="FFF5DBF2"/>
      <color rgb="FFF999F7"/>
      <color rgb="FFEE99F9"/>
      <color rgb="FFD2F6DF"/>
      <color rgb="FFC0F2D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55" Type="http://schemas.openxmlformats.org/officeDocument/2006/relationships/customXml" Target="../customXml/item3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Analysis.xlsx]pivot tables!PivotTable2</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Per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tables'!$E$9</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tables'!$D$10:$D$15</c:f>
              <c:strCache>
                <c:ptCount val="5"/>
                <c:pt idx="0">
                  <c:v>Fashion</c:v>
                </c:pt>
                <c:pt idx="1">
                  <c:v>Electronics</c:v>
                </c:pt>
                <c:pt idx="2">
                  <c:v>Beauty</c:v>
                </c:pt>
                <c:pt idx="3">
                  <c:v>Home</c:v>
                </c:pt>
                <c:pt idx="4">
                  <c:v>Sports</c:v>
                </c:pt>
              </c:strCache>
            </c:strRef>
          </c:cat>
          <c:val>
            <c:numRef>
              <c:f>'pivot tables'!$E$10:$E$15</c:f>
              <c:numCache>
                <c:formatCode>_(* #,##0_);_(* \(#,##0\);_(* "-"??_);_(@_)</c:formatCode>
                <c:ptCount val="5"/>
                <c:pt idx="0">
                  <c:v>221302.03</c:v>
                </c:pt>
                <c:pt idx="1">
                  <c:v>200355.14</c:v>
                </c:pt>
                <c:pt idx="2">
                  <c:v>187779.34</c:v>
                </c:pt>
                <c:pt idx="3">
                  <c:v>184997.63</c:v>
                </c:pt>
                <c:pt idx="4">
                  <c:v>180259.02</c:v>
                </c:pt>
              </c:numCache>
            </c:numRef>
          </c:val>
          <c:extLst>
            <c:ext xmlns:c16="http://schemas.microsoft.com/office/drawing/2014/chart" uri="{C3380CC4-5D6E-409C-BE32-E72D297353CC}">
              <c16:uniqueId val="{00000000-CDE4-4D6A-A329-ACC7B50FEC30}"/>
            </c:ext>
          </c:extLst>
        </c:ser>
        <c:dLbls>
          <c:dLblPos val="outEnd"/>
          <c:showLegendKey val="0"/>
          <c:showVal val="1"/>
          <c:showCatName val="0"/>
          <c:showSerName val="0"/>
          <c:showPercent val="0"/>
          <c:showBubbleSize val="0"/>
        </c:dLbls>
        <c:gapWidth val="100"/>
        <c:overlap val="-24"/>
        <c:axId val="1002564272"/>
        <c:axId val="1002567632"/>
      </c:barChart>
      <c:catAx>
        <c:axId val="100256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02567632"/>
        <c:crosses val="autoZero"/>
        <c:auto val="1"/>
        <c:lblAlgn val="ctr"/>
        <c:lblOffset val="100"/>
        <c:noMultiLvlLbl val="0"/>
      </c:catAx>
      <c:valAx>
        <c:axId val="1002567632"/>
        <c:scaling>
          <c:orientation val="minMax"/>
        </c:scaling>
        <c:delete val="1"/>
        <c:axPos val="l"/>
        <c:numFmt formatCode="_(* #,##0_);_(* \(#,##0\);_(* &quot;-&quot;??_);_(@_)" sourceLinked="1"/>
        <c:majorTickMark val="none"/>
        <c:minorTickMark val="none"/>
        <c:tickLblPos val="nextTo"/>
        <c:crossAx val="100256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Analysis.xlsx]pivot tables!PivotTable4</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Per Brand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tables'!$E$20</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tables'!$D$21:$D$26</c:f>
              <c:strCache>
                <c:ptCount val="5"/>
                <c:pt idx="0">
                  <c:v>Branch 1</c:v>
                </c:pt>
                <c:pt idx="1">
                  <c:v>Branch 2</c:v>
                </c:pt>
                <c:pt idx="2">
                  <c:v>Branch 3</c:v>
                </c:pt>
                <c:pt idx="3">
                  <c:v>Branch 4</c:v>
                </c:pt>
                <c:pt idx="4">
                  <c:v>Branch 5</c:v>
                </c:pt>
              </c:strCache>
            </c:strRef>
          </c:cat>
          <c:val>
            <c:numRef>
              <c:f>'pivot tables'!$E$21:$E$26</c:f>
              <c:numCache>
                <c:formatCode>_(* #,##0_);_(* \(#,##0\);_(* "-"??_);_(@_)</c:formatCode>
                <c:ptCount val="5"/>
                <c:pt idx="0">
                  <c:v>199602.78</c:v>
                </c:pt>
                <c:pt idx="1">
                  <c:v>186559.72</c:v>
                </c:pt>
                <c:pt idx="2">
                  <c:v>205153.17</c:v>
                </c:pt>
                <c:pt idx="3">
                  <c:v>200794.31</c:v>
                </c:pt>
                <c:pt idx="4">
                  <c:v>182583.18</c:v>
                </c:pt>
              </c:numCache>
            </c:numRef>
          </c:val>
          <c:extLst>
            <c:ext xmlns:c16="http://schemas.microsoft.com/office/drawing/2014/chart" uri="{C3380CC4-5D6E-409C-BE32-E72D297353CC}">
              <c16:uniqueId val="{00000000-E9CA-4695-B72F-B42FED6A5C6E}"/>
            </c:ext>
          </c:extLst>
        </c:ser>
        <c:dLbls>
          <c:dLblPos val="outEnd"/>
          <c:showLegendKey val="0"/>
          <c:showVal val="1"/>
          <c:showCatName val="0"/>
          <c:showSerName val="0"/>
          <c:showPercent val="0"/>
          <c:showBubbleSize val="0"/>
        </c:dLbls>
        <c:gapWidth val="100"/>
        <c:axId val="822471504"/>
        <c:axId val="822456144"/>
      </c:barChart>
      <c:catAx>
        <c:axId val="82247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2456144"/>
        <c:crosses val="autoZero"/>
        <c:auto val="1"/>
        <c:lblAlgn val="ctr"/>
        <c:lblOffset val="100"/>
        <c:noMultiLvlLbl val="0"/>
      </c:catAx>
      <c:valAx>
        <c:axId val="82245614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247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Analysis.xlsx]pivot tables!PivotTable8</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tables'!$K$20</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 tables'!$J$21:$J$33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tables'!$K$21:$K$33</c:f>
              <c:numCache>
                <c:formatCode>_(* #,##0_);_(* \(#,##0\);_(* "-"??_);_(@_)</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1-01E5-42B9-9D0A-FD7BE46A49C9}"/>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22452304"/>
        <c:axId val="822452784"/>
      </c:lineChart>
      <c:catAx>
        <c:axId val="8224523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22452784"/>
        <c:crosses val="autoZero"/>
        <c:auto val="1"/>
        <c:lblAlgn val="ctr"/>
        <c:lblOffset val="100"/>
        <c:noMultiLvlLbl val="0"/>
      </c:catAx>
      <c:valAx>
        <c:axId val="82245278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24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 Analysis.xlsx]pivot tables!PivotTable10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3980721676725"/>
          <c:y val="7.6950611782998349E-2"/>
          <c:w val="0.61483564801565205"/>
          <c:h val="0.64832638245432839"/>
        </c:manualLayout>
      </c:layout>
      <c:barChart>
        <c:barDir val="col"/>
        <c:grouping val="clustered"/>
        <c:varyColors val="0"/>
        <c:ser>
          <c:idx val="0"/>
          <c:order val="0"/>
          <c:tx>
            <c:strRef>
              <c:f>'pivot tables'!$T$20:$T$21</c:f>
              <c:strCache>
                <c:ptCount val="1"/>
                <c:pt idx="0">
                  <c:v>Brand A</c:v>
                </c:pt>
              </c:strCache>
            </c:strRef>
          </c:tx>
          <c:spPr>
            <a:solidFill>
              <a:schemeClr val="accent5">
                <a:tint val="54000"/>
              </a:schemeClr>
            </a:solidFill>
            <a:ln>
              <a:noFill/>
            </a:ln>
            <a:effectLst/>
          </c:spPr>
          <c:invertIfNegative val="0"/>
          <c:cat>
            <c:strRef>
              <c:f>'pivot tables'!$S$22:$S$27</c:f>
              <c:strCache>
                <c:ptCount val="5"/>
                <c:pt idx="0">
                  <c:v>Fashion</c:v>
                </c:pt>
                <c:pt idx="1">
                  <c:v>Electronics</c:v>
                </c:pt>
                <c:pt idx="2">
                  <c:v>Beauty</c:v>
                </c:pt>
                <c:pt idx="3">
                  <c:v>Home</c:v>
                </c:pt>
                <c:pt idx="4">
                  <c:v>Sports</c:v>
                </c:pt>
              </c:strCache>
            </c:strRef>
          </c:cat>
          <c:val>
            <c:numRef>
              <c:f>'pivot tables'!$T$22:$T$27</c:f>
              <c:numCache>
                <c:formatCode>_(* #,##0_);_(* \(#,##0\);_(* "-"??_);_(@_)</c:formatCode>
                <c:ptCount val="5"/>
                <c:pt idx="0">
                  <c:v>37171.54</c:v>
                </c:pt>
                <c:pt idx="1">
                  <c:v>40237.67</c:v>
                </c:pt>
                <c:pt idx="2">
                  <c:v>16945.87</c:v>
                </c:pt>
                <c:pt idx="3">
                  <c:v>33578.839999999997</c:v>
                </c:pt>
                <c:pt idx="4">
                  <c:v>36357.589999999997</c:v>
                </c:pt>
              </c:numCache>
            </c:numRef>
          </c:val>
          <c:extLst>
            <c:ext xmlns:c16="http://schemas.microsoft.com/office/drawing/2014/chart" uri="{C3380CC4-5D6E-409C-BE32-E72D297353CC}">
              <c16:uniqueId val="{00000000-5DED-48F9-9E01-A93B42948C01}"/>
            </c:ext>
          </c:extLst>
        </c:ser>
        <c:ser>
          <c:idx val="1"/>
          <c:order val="1"/>
          <c:tx>
            <c:strRef>
              <c:f>'pivot tables'!$U$20:$U$21</c:f>
              <c:strCache>
                <c:ptCount val="1"/>
                <c:pt idx="0">
                  <c:v>Brand B</c:v>
                </c:pt>
              </c:strCache>
            </c:strRef>
          </c:tx>
          <c:spPr>
            <a:solidFill>
              <a:schemeClr val="accent5">
                <a:tint val="77000"/>
              </a:schemeClr>
            </a:solidFill>
            <a:ln>
              <a:noFill/>
            </a:ln>
            <a:effectLst/>
          </c:spPr>
          <c:invertIfNegative val="0"/>
          <c:cat>
            <c:strRef>
              <c:f>'pivot tables'!$S$22:$S$27</c:f>
              <c:strCache>
                <c:ptCount val="5"/>
                <c:pt idx="0">
                  <c:v>Fashion</c:v>
                </c:pt>
                <c:pt idx="1">
                  <c:v>Electronics</c:v>
                </c:pt>
                <c:pt idx="2">
                  <c:v>Beauty</c:v>
                </c:pt>
                <c:pt idx="3">
                  <c:v>Home</c:v>
                </c:pt>
                <c:pt idx="4">
                  <c:v>Sports</c:v>
                </c:pt>
              </c:strCache>
            </c:strRef>
          </c:cat>
          <c:val>
            <c:numRef>
              <c:f>'pivot tables'!$U$22:$U$27</c:f>
              <c:numCache>
                <c:formatCode>_(* #,##0_);_(* \(#,##0\);_(* "-"??_);_(@_)</c:formatCode>
                <c:ptCount val="5"/>
                <c:pt idx="0">
                  <c:v>66804.320000000007</c:v>
                </c:pt>
                <c:pt idx="1">
                  <c:v>32167.33</c:v>
                </c:pt>
                <c:pt idx="2">
                  <c:v>47719.63</c:v>
                </c:pt>
                <c:pt idx="3">
                  <c:v>38963.07</c:v>
                </c:pt>
                <c:pt idx="4">
                  <c:v>26684.9</c:v>
                </c:pt>
              </c:numCache>
            </c:numRef>
          </c:val>
          <c:extLst>
            <c:ext xmlns:c16="http://schemas.microsoft.com/office/drawing/2014/chart" uri="{C3380CC4-5D6E-409C-BE32-E72D297353CC}">
              <c16:uniqueId val="{00000004-6661-4112-9DC8-BDCF7DF9B07A}"/>
            </c:ext>
          </c:extLst>
        </c:ser>
        <c:ser>
          <c:idx val="2"/>
          <c:order val="2"/>
          <c:tx>
            <c:strRef>
              <c:f>'pivot tables'!$V$20:$V$21</c:f>
              <c:strCache>
                <c:ptCount val="1"/>
                <c:pt idx="0">
                  <c:v>Brand C</c:v>
                </c:pt>
              </c:strCache>
            </c:strRef>
          </c:tx>
          <c:spPr>
            <a:solidFill>
              <a:schemeClr val="accent5"/>
            </a:solidFill>
            <a:ln>
              <a:noFill/>
            </a:ln>
            <a:effectLst/>
          </c:spPr>
          <c:invertIfNegative val="0"/>
          <c:cat>
            <c:strRef>
              <c:f>'pivot tables'!$S$22:$S$27</c:f>
              <c:strCache>
                <c:ptCount val="5"/>
                <c:pt idx="0">
                  <c:v>Fashion</c:v>
                </c:pt>
                <c:pt idx="1">
                  <c:v>Electronics</c:v>
                </c:pt>
                <c:pt idx="2">
                  <c:v>Beauty</c:v>
                </c:pt>
                <c:pt idx="3">
                  <c:v>Home</c:v>
                </c:pt>
                <c:pt idx="4">
                  <c:v>Sports</c:v>
                </c:pt>
              </c:strCache>
            </c:strRef>
          </c:cat>
          <c:val>
            <c:numRef>
              <c:f>'pivot tables'!$V$22:$V$27</c:f>
              <c:numCache>
                <c:formatCode>_(* #,##0_);_(* \(#,##0\);_(* "-"??_);_(@_)</c:formatCode>
                <c:ptCount val="5"/>
                <c:pt idx="0">
                  <c:v>42232.26</c:v>
                </c:pt>
                <c:pt idx="1">
                  <c:v>45580.26</c:v>
                </c:pt>
                <c:pt idx="2">
                  <c:v>37907.71</c:v>
                </c:pt>
                <c:pt idx="3">
                  <c:v>34144.01</c:v>
                </c:pt>
                <c:pt idx="4">
                  <c:v>36427.300000000003</c:v>
                </c:pt>
              </c:numCache>
            </c:numRef>
          </c:val>
          <c:extLst>
            <c:ext xmlns:c16="http://schemas.microsoft.com/office/drawing/2014/chart" uri="{C3380CC4-5D6E-409C-BE32-E72D297353CC}">
              <c16:uniqueId val="{00000005-6661-4112-9DC8-BDCF7DF9B07A}"/>
            </c:ext>
          </c:extLst>
        </c:ser>
        <c:ser>
          <c:idx val="3"/>
          <c:order val="3"/>
          <c:tx>
            <c:strRef>
              <c:f>'pivot tables'!$W$20:$W$21</c:f>
              <c:strCache>
                <c:ptCount val="1"/>
                <c:pt idx="0">
                  <c:v>Brand D</c:v>
                </c:pt>
              </c:strCache>
            </c:strRef>
          </c:tx>
          <c:spPr>
            <a:solidFill>
              <a:schemeClr val="accent5">
                <a:shade val="76000"/>
              </a:schemeClr>
            </a:solidFill>
            <a:ln>
              <a:noFill/>
            </a:ln>
            <a:effectLst/>
          </c:spPr>
          <c:invertIfNegative val="0"/>
          <c:cat>
            <c:strRef>
              <c:f>'pivot tables'!$S$22:$S$27</c:f>
              <c:strCache>
                <c:ptCount val="5"/>
                <c:pt idx="0">
                  <c:v>Fashion</c:v>
                </c:pt>
                <c:pt idx="1">
                  <c:v>Electronics</c:v>
                </c:pt>
                <c:pt idx="2">
                  <c:v>Beauty</c:v>
                </c:pt>
                <c:pt idx="3">
                  <c:v>Home</c:v>
                </c:pt>
                <c:pt idx="4">
                  <c:v>Sports</c:v>
                </c:pt>
              </c:strCache>
            </c:strRef>
          </c:cat>
          <c:val>
            <c:numRef>
              <c:f>'pivot tables'!$W$22:$W$27</c:f>
              <c:numCache>
                <c:formatCode>_(* #,##0_);_(* \(#,##0\);_(* "-"??_);_(@_)</c:formatCode>
                <c:ptCount val="5"/>
                <c:pt idx="0">
                  <c:v>36409.85</c:v>
                </c:pt>
                <c:pt idx="1">
                  <c:v>50415.79</c:v>
                </c:pt>
                <c:pt idx="2">
                  <c:v>48230.21</c:v>
                </c:pt>
                <c:pt idx="3">
                  <c:v>36480.61</c:v>
                </c:pt>
                <c:pt idx="4">
                  <c:v>48291.85</c:v>
                </c:pt>
              </c:numCache>
            </c:numRef>
          </c:val>
          <c:extLst>
            <c:ext xmlns:c16="http://schemas.microsoft.com/office/drawing/2014/chart" uri="{C3380CC4-5D6E-409C-BE32-E72D297353CC}">
              <c16:uniqueId val="{00000006-6661-4112-9DC8-BDCF7DF9B07A}"/>
            </c:ext>
          </c:extLst>
        </c:ser>
        <c:ser>
          <c:idx val="4"/>
          <c:order val="4"/>
          <c:tx>
            <c:strRef>
              <c:f>'pivot tables'!$X$20:$X$21</c:f>
              <c:strCache>
                <c:ptCount val="1"/>
                <c:pt idx="0">
                  <c:v>Brand E</c:v>
                </c:pt>
              </c:strCache>
            </c:strRef>
          </c:tx>
          <c:spPr>
            <a:solidFill>
              <a:schemeClr val="accent5">
                <a:shade val="53000"/>
              </a:schemeClr>
            </a:solidFill>
            <a:ln>
              <a:noFill/>
            </a:ln>
            <a:effectLst/>
          </c:spPr>
          <c:invertIfNegative val="0"/>
          <c:cat>
            <c:strRef>
              <c:f>'pivot tables'!$S$22:$S$27</c:f>
              <c:strCache>
                <c:ptCount val="5"/>
                <c:pt idx="0">
                  <c:v>Fashion</c:v>
                </c:pt>
                <c:pt idx="1">
                  <c:v>Electronics</c:v>
                </c:pt>
                <c:pt idx="2">
                  <c:v>Beauty</c:v>
                </c:pt>
                <c:pt idx="3">
                  <c:v>Home</c:v>
                </c:pt>
                <c:pt idx="4">
                  <c:v>Sports</c:v>
                </c:pt>
              </c:strCache>
            </c:strRef>
          </c:cat>
          <c:val>
            <c:numRef>
              <c:f>'pivot tables'!$X$22:$X$27</c:f>
              <c:numCache>
                <c:formatCode>_(* #,##0_);_(* \(#,##0\);_(* "-"??_);_(@_)</c:formatCode>
                <c:ptCount val="5"/>
                <c:pt idx="0">
                  <c:v>38684.06</c:v>
                </c:pt>
                <c:pt idx="1">
                  <c:v>31954.09</c:v>
                </c:pt>
                <c:pt idx="2">
                  <c:v>36975.919999999998</c:v>
                </c:pt>
                <c:pt idx="3">
                  <c:v>41831.1</c:v>
                </c:pt>
                <c:pt idx="4">
                  <c:v>32497.38</c:v>
                </c:pt>
              </c:numCache>
            </c:numRef>
          </c:val>
          <c:extLst>
            <c:ext xmlns:c16="http://schemas.microsoft.com/office/drawing/2014/chart" uri="{C3380CC4-5D6E-409C-BE32-E72D297353CC}">
              <c16:uniqueId val="{00000007-6661-4112-9DC8-BDCF7DF9B07A}"/>
            </c:ext>
          </c:extLst>
        </c:ser>
        <c:dLbls>
          <c:showLegendKey val="0"/>
          <c:showVal val="0"/>
          <c:showCatName val="0"/>
          <c:showSerName val="0"/>
          <c:showPercent val="0"/>
          <c:showBubbleSize val="0"/>
        </c:dLbls>
        <c:gapWidth val="267"/>
        <c:overlap val="-43"/>
        <c:axId val="822475824"/>
        <c:axId val="822478224"/>
      </c:barChart>
      <c:catAx>
        <c:axId val="82247582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22478224"/>
        <c:crosses val="autoZero"/>
        <c:auto val="1"/>
        <c:lblAlgn val="ctr"/>
        <c:lblOffset val="100"/>
        <c:noMultiLvlLbl val="0"/>
      </c:catAx>
      <c:valAx>
        <c:axId val="822478224"/>
        <c:scaling>
          <c:orientation val="minMax"/>
        </c:scaling>
        <c:delete val="0"/>
        <c:axPos val="l"/>
        <c:majorGridlines>
          <c:spPr>
            <a:ln w="9525" cap="flat" cmpd="sng" algn="ctr">
              <a:solidFill>
                <a:schemeClr val="dk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224758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25400</xdr:colOff>
      <xdr:row>7</xdr:row>
      <xdr:rowOff>12700</xdr:rowOff>
    </xdr:from>
    <xdr:to>
      <xdr:col>13</xdr:col>
      <xdr:colOff>326530</xdr:colOff>
      <xdr:row>17</xdr:row>
      <xdr:rowOff>38100</xdr:rowOff>
    </xdr:to>
    <mc:AlternateContent xmlns:mc="http://schemas.openxmlformats.org/markup-compatibility/2006" xmlns:a14="http://schemas.microsoft.com/office/drawing/2010/main">
      <mc:Choice Requires="a14">
        <xdr:graphicFrame macro="">
          <xdr:nvGraphicFramePr>
            <xdr:cNvPr id="2" name="BrandName">
              <a:extLst>
                <a:ext uri="{FF2B5EF4-FFF2-40B4-BE49-F238E27FC236}">
                  <a16:creationId xmlns:a16="http://schemas.microsoft.com/office/drawing/2014/main" id="{BC04910E-D52E-01F4-E732-7BE74DEE1758}"/>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10555817" y="1309158"/>
              <a:ext cx="1825625" cy="1877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12700</xdr:colOff>
      <xdr:row>7</xdr:row>
      <xdr:rowOff>82550</xdr:rowOff>
    </xdr:from>
    <xdr:to>
      <xdr:col>7</xdr:col>
      <xdr:colOff>632671</xdr:colOff>
      <xdr:row>17</xdr:row>
      <xdr:rowOff>59690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86CC489F-9FA1-3C92-F21E-8C7A8167AF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96242" y="1379008"/>
              <a:ext cx="1825625" cy="1813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1130300</xdr:colOff>
      <xdr:row>19</xdr:row>
      <xdr:rowOff>0</xdr:rowOff>
    </xdr:from>
    <xdr:to>
      <xdr:col>7</xdr:col>
      <xdr:colOff>617925</xdr:colOff>
      <xdr:row>28</xdr:row>
      <xdr:rowOff>96520</xdr:rowOff>
    </xdr:to>
    <mc:AlternateContent xmlns:mc="http://schemas.openxmlformats.org/markup-compatibility/2006" xmlns:a14="http://schemas.microsoft.com/office/drawing/2010/main">
      <mc:Choice Requires="a14">
        <xdr:graphicFrame macro="">
          <xdr:nvGraphicFramePr>
            <xdr:cNvPr id="5" name="BranchName">
              <a:extLst>
                <a:ext uri="{FF2B5EF4-FFF2-40B4-BE49-F238E27FC236}">
                  <a16:creationId xmlns:a16="http://schemas.microsoft.com/office/drawing/2014/main" id="{79EF0AE8-E099-85BC-DB59-2A95519150AC}"/>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3784247" y="3518958"/>
              <a:ext cx="1822450" cy="176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56797</xdr:colOff>
      <xdr:row>4</xdr:row>
      <xdr:rowOff>140406</xdr:rowOff>
    </xdr:from>
    <xdr:to>
      <xdr:col>22</xdr:col>
      <xdr:colOff>550403</xdr:colOff>
      <xdr:row>13</xdr:row>
      <xdr:rowOff>95885</xdr:rowOff>
    </xdr:to>
    <mc:AlternateContent xmlns:mc="http://schemas.openxmlformats.org/markup-compatibility/2006" xmlns:a14="http://schemas.microsoft.com/office/drawing/2010/main">
      <mc:Choice Requires="a14">
        <xdr:graphicFrame macro="">
          <xdr:nvGraphicFramePr>
            <xdr:cNvPr id="14" name="PaymentMethod">
              <a:extLst>
                <a:ext uri="{FF2B5EF4-FFF2-40B4-BE49-F238E27FC236}">
                  <a16:creationId xmlns:a16="http://schemas.microsoft.com/office/drawing/2014/main" id="{2DB1470E-E463-AC87-7658-7DBFAACF7CC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7695686" y="881239"/>
              <a:ext cx="1828800" cy="1605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78669</xdr:colOff>
      <xdr:row>19</xdr:row>
      <xdr:rowOff>21872</xdr:rowOff>
    </xdr:from>
    <xdr:to>
      <xdr:col>13</xdr:col>
      <xdr:colOff>381704</xdr:colOff>
      <xdr:row>33</xdr:row>
      <xdr:rowOff>58487</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46D30D74-CB8E-9EAA-D04F-10DAE00883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93752" y="3444099"/>
              <a:ext cx="1837619" cy="2555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378472</xdr:colOff>
      <xdr:row>14</xdr:row>
      <xdr:rowOff>109441</xdr:rowOff>
    </xdr:from>
    <xdr:to>
      <xdr:col>27</xdr:col>
      <xdr:colOff>217032</xdr:colOff>
      <xdr:row>24</xdr:row>
      <xdr:rowOff>0</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9244B303-1089-4925-8C5D-34B94DD2C3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901296" y="2685524"/>
              <a:ext cx="1651372" cy="1684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586149</xdr:colOff>
      <xdr:row>14</xdr:row>
      <xdr:rowOff>0</xdr:rowOff>
    </xdr:from>
    <xdr:to>
      <xdr:col>24</xdr:col>
      <xdr:colOff>299913</xdr:colOff>
      <xdr:row>53</xdr:row>
      <xdr:rowOff>11758</xdr:rowOff>
    </xdr:to>
    <xdr:grpSp>
      <xdr:nvGrpSpPr>
        <xdr:cNvPr id="10" name="Group 9">
          <a:extLst>
            <a:ext uri="{FF2B5EF4-FFF2-40B4-BE49-F238E27FC236}">
              <a16:creationId xmlns:a16="http://schemas.microsoft.com/office/drawing/2014/main" id="{0D17E1F7-EACD-0C4A-FB0D-1D0E22660A62}"/>
            </a:ext>
          </a:extLst>
        </xdr:cNvPr>
        <xdr:cNvGrpSpPr/>
      </xdr:nvGrpSpPr>
      <xdr:grpSpPr>
        <a:xfrm>
          <a:off x="6072549" y="2621280"/>
          <a:ext cx="8857764" cy="7144078"/>
          <a:chOff x="3038621" y="2497002"/>
          <a:chExt cx="8704831" cy="6545253"/>
        </a:xfrm>
      </xdr:grpSpPr>
      <xdr:graphicFrame macro="">
        <xdr:nvGraphicFramePr>
          <xdr:cNvPr id="2" name="Chart 1">
            <a:extLst>
              <a:ext uri="{FF2B5EF4-FFF2-40B4-BE49-F238E27FC236}">
                <a16:creationId xmlns:a16="http://schemas.microsoft.com/office/drawing/2014/main" id="{8F92EAA8-3C8F-46CE-B711-4473767A8A4C}"/>
              </a:ext>
            </a:extLst>
          </xdr:cNvPr>
          <xdr:cNvGraphicFramePr>
            <a:graphicFrameLocks/>
          </xdr:cNvGraphicFramePr>
        </xdr:nvGraphicFramePr>
        <xdr:xfrm>
          <a:off x="3038621" y="2497002"/>
          <a:ext cx="4383826" cy="202567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E7C68EB5-CBBF-4D5E-8916-F7D03C38B8DE}"/>
              </a:ext>
            </a:extLst>
          </xdr:cNvPr>
          <xdr:cNvGraphicFramePr>
            <a:graphicFrameLocks/>
          </xdr:cNvGraphicFramePr>
        </xdr:nvGraphicFramePr>
        <xdr:xfrm>
          <a:off x="7539709" y="2506491"/>
          <a:ext cx="4193108" cy="20012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8932D43D-D4E3-46BA-8556-2DA6DFE8DB8F}"/>
              </a:ext>
            </a:extLst>
          </xdr:cNvPr>
          <xdr:cNvGraphicFramePr>
            <a:graphicFrameLocks/>
          </xdr:cNvGraphicFramePr>
        </xdr:nvGraphicFramePr>
        <xdr:xfrm>
          <a:off x="3038621" y="6944831"/>
          <a:ext cx="8704831" cy="209742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5333FE3C-02A8-4E32-949D-EB55978E9984}"/>
              </a:ext>
            </a:extLst>
          </xdr:cNvPr>
          <xdr:cNvGraphicFramePr>
            <a:graphicFrameLocks/>
          </xdr:cNvGraphicFramePr>
        </xdr:nvGraphicFramePr>
        <xdr:xfrm>
          <a:off x="3038621" y="4664574"/>
          <a:ext cx="8694195" cy="214553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188148</xdr:colOff>
      <xdr:row>3</xdr:row>
      <xdr:rowOff>0</xdr:rowOff>
    </xdr:from>
    <xdr:to>
      <xdr:col>16</xdr:col>
      <xdr:colOff>496343</xdr:colOff>
      <xdr:row>10</xdr:row>
      <xdr:rowOff>154227</xdr:rowOff>
    </xdr:to>
    <xdr:grpSp>
      <xdr:nvGrpSpPr>
        <xdr:cNvPr id="9" name="Group 8">
          <a:extLst>
            <a:ext uri="{FF2B5EF4-FFF2-40B4-BE49-F238E27FC236}">
              <a16:creationId xmlns:a16="http://schemas.microsoft.com/office/drawing/2014/main" id="{AFF642F2-1B8B-3327-53AE-D57B174E8D72}"/>
            </a:ext>
          </a:extLst>
        </xdr:cNvPr>
        <xdr:cNvGrpSpPr/>
      </xdr:nvGrpSpPr>
      <xdr:grpSpPr>
        <a:xfrm>
          <a:off x="7503348" y="548640"/>
          <a:ext cx="2746595" cy="1434387"/>
          <a:chOff x="4977045" y="1014279"/>
          <a:chExt cx="2677590" cy="1197500"/>
        </a:xfrm>
        <a:solidFill>
          <a:srgbClr val="F9EBF7"/>
        </a:solidFill>
      </xdr:grpSpPr>
      <xdr:sp macro="" textlink="">
        <xdr:nvSpPr>
          <xdr:cNvPr id="7" name="Rectangle: Rounded Corners 6">
            <a:extLst>
              <a:ext uri="{FF2B5EF4-FFF2-40B4-BE49-F238E27FC236}">
                <a16:creationId xmlns:a16="http://schemas.microsoft.com/office/drawing/2014/main" id="{5AB2A937-3408-F109-513D-5F25B46229B8}"/>
              </a:ext>
            </a:extLst>
          </xdr:cNvPr>
          <xdr:cNvSpPr/>
        </xdr:nvSpPr>
        <xdr:spPr>
          <a:xfrm>
            <a:off x="4977045" y="1014279"/>
            <a:ext cx="2677590" cy="11975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H37">
        <xdr:nvSpPr>
          <xdr:cNvPr id="11" name="TextBox 10">
            <a:extLst>
              <a:ext uri="{FF2B5EF4-FFF2-40B4-BE49-F238E27FC236}">
                <a16:creationId xmlns:a16="http://schemas.microsoft.com/office/drawing/2014/main" id="{52061131-B1FE-314B-96D9-1DA4F1B7F641}"/>
              </a:ext>
            </a:extLst>
          </xdr:cNvPr>
          <xdr:cNvSpPr txBox="1"/>
        </xdr:nvSpPr>
        <xdr:spPr>
          <a:xfrm>
            <a:off x="5078127" y="1045993"/>
            <a:ext cx="2469106" cy="46905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63810D-3BD4-4350-9213-FC51FE355E68}" type="TxLink">
              <a:rPr lang="en-US" sz="2600" b="1" i="0" u="none" strike="noStrike">
                <a:solidFill>
                  <a:srgbClr val="000000"/>
                </a:solidFill>
                <a:latin typeface="Aptos Narrow"/>
                <a:cs typeface="Aharoni" panose="02010803020104030203" pitchFamily="2" charset="-79"/>
              </a:rPr>
              <a:pPr/>
              <a:t>Total Customers</a:t>
            </a:fld>
            <a:endParaRPr lang="en-US" sz="3200" b="1">
              <a:latin typeface="Aharoni" panose="02010803020104030203" pitchFamily="2" charset="-79"/>
              <a:cs typeface="Aharoni" panose="02010803020104030203" pitchFamily="2" charset="-79"/>
            </a:endParaRPr>
          </a:p>
        </xdr:txBody>
      </xdr:sp>
      <xdr:sp macro="" textlink="'pivot tables'!H38">
        <xdr:nvSpPr>
          <xdr:cNvPr id="12" name="TextBox 11">
            <a:extLst>
              <a:ext uri="{FF2B5EF4-FFF2-40B4-BE49-F238E27FC236}">
                <a16:creationId xmlns:a16="http://schemas.microsoft.com/office/drawing/2014/main" id="{FB2A10A7-C668-D48A-80E6-D49DACE2A6BA}"/>
              </a:ext>
            </a:extLst>
          </xdr:cNvPr>
          <xdr:cNvSpPr txBox="1"/>
        </xdr:nvSpPr>
        <xdr:spPr>
          <a:xfrm>
            <a:off x="5886672" y="1766816"/>
            <a:ext cx="728681" cy="4449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EE75D1-05E6-4A27-86C4-227709FF7F09}" type="TxLink">
              <a:rPr lang="en-US" sz="2600" b="1" i="0" u="none" strike="noStrike">
                <a:solidFill>
                  <a:srgbClr val="000000"/>
                </a:solidFill>
                <a:latin typeface="Aptos Narrow"/>
              </a:rPr>
              <a:pPr/>
              <a:t>638</a:t>
            </a:fld>
            <a:endParaRPr lang="en-US" sz="1100"/>
          </a:p>
        </xdr:txBody>
      </xdr:sp>
    </xdr:grpSp>
    <xdr:clientData/>
  </xdr:twoCellAnchor>
  <xdr:twoCellAnchor>
    <xdr:from>
      <xdr:col>17</xdr:col>
      <xdr:colOff>600286</xdr:colOff>
      <xdr:row>2</xdr:row>
      <xdr:rowOff>172528</xdr:rowOff>
    </xdr:from>
    <xdr:to>
      <xdr:col>22</xdr:col>
      <xdr:colOff>288474</xdr:colOff>
      <xdr:row>10</xdr:row>
      <xdr:rowOff>154227</xdr:rowOff>
    </xdr:to>
    <xdr:grpSp>
      <xdr:nvGrpSpPr>
        <xdr:cNvPr id="8" name="Group 7">
          <a:extLst>
            <a:ext uri="{FF2B5EF4-FFF2-40B4-BE49-F238E27FC236}">
              <a16:creationId xmlns:a16="http://schemas.microsoft.com/office/drawing/2014/main" id="{0F27710E-CD72-B34E-DDB2-B0CDE1DF682D}"/>
            </a:ext>
          </a:extLst>
        </xdr:cNvPr>
        <xdr:cNvGrpSpPr/>
      </xdr:nvGrpSpPr>
      <xdr:grpSpPr>
        <a:xfrm>
          <a:off x="10963486" y="538288"/>
          <a:ext cx="2736188" cy="1444739"/>
          <a:chOff x="8742108" y="891109"/>
          <a:chExt cx="2279403" cy="1129795"/>
        </a:xfrm>
        <a:solidFill>
          <a:srgbClr val="F9EBF7"/>
        </a:solidFill>
      </xdr:grpSpPr>
      <xdr:sp macro="" textlink="">
        <xdr:nvSpPr>
          <xdr:cNvPr id="13" name="Rectangle: Rounded Corners 12">
            <a:extLst>
              <a:ext uri="{FF2B5EF4-FFF2-40B4-BE49-F238E27FC236}">
                <a16:creationId xmlns:a16="http://schemas.microsoft.com/office/drawing/2014/main" id="{5A54AE71-F76B-46B3-8FE2-529A9D6F7A39}"/>
              </a:ext>
            </a:extLst>
          </xdr:cNvPr>
          <xdr:cNvSpPr/>
        </xdr:nvSpPr>
        <xdr:spPr>
          <a:xfrm>
            <a:off x="8742108" y="891109"/>
            <a:ext cx="2279403" cy="111862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K37">
        <xdr:nvSpPr>
          <xdr:cNvPr id="14" name="TextBox 13">
            <a:extLst>
              <a:ext uri="{FF2B5EF4-FFF2-40B4-BE49-F238E27FC236}">
                <a16:creationId xmlns:a16="http://schemas.microsoft.com/office/drawing/2014/main" id="{EDC7E414-FAFD-4DEB-94B6-D9E94060B6B0}"/>
              </a:ext>
            </a:extLst>
          </xdr:cNvPr>
          <xdr:cNvSpPr txBox="1"/>
        </xdr:nvSpPr>
        <xdr:spPr>
          <a:xfrm>
            <a:off x="9171194" y="932584"/>
            <a:ext cx="1762454" cy="3707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2D2CC-E5C4-410D-9E2A-86384287C1B6}" type="TxLink">
              <a:rPr lang="en-US" sz="2600" b="1" i="0" u="none" strike="noStrike">
                <a:solidFill>
                  <a:srgbClr val="000000"/>
                </a:solidFill>
                <a:latin typeface="Aptos Narrow"/>
                <a:cs typeface="Aharoni" panose="02010803020104030203" pitchFamily="2" charset="-79"/>
              </a:rPr>
              <a:pPr/>
              <a:t>Total Sales</a:t>
            </a:fld>
            <a:endParaRPr lang="en-US" sz="3200" b="1">
              <a:latin typeface="Aharoni" panose="02010803020104030203" pitchFamily="2" charset="-79"/>
              <a:cs typeface="Aharoni" panose="02010803020104030203" pitchFamily="2" charset="-79"/>
            </a:endParaRPr>
          </a:p>
        </xdr:txBody>
      </xdr:sp>
      <xdr:sp macro="" textlink="'pivot tables'!K38">
        <xdr:nvSpPr>
          <xdr:cNvPr id="15" name="TextBox 14">
            <a:extLst>
              <a:ext uri="{FF2B5EF4-FFF2-40B4-BE49-F238E27FC236}">
                <a16:creationId xmlns:a16="http://schemas.microsoft.com/office/drawing/2014/main" id="{6D4716D7-D803-4242-9E1E-1340BB343901}"/>
              </a:ext>
            </a:extLst>
          </xdr:cNvPr>
          <xdr:cNvSpPr txBox="1"/>
        </xdr:nvSpPr>
        <xdr:spPr>
          <a:xfrm>
            <a:off x="9417220" y="1585273"/>
            <a:ext cx="1364799" cy="4356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4CC4A3-02B5-4C62-ACC4-37FD4452061A}" type="TxLink">
              <a:rPr lang="en-US" sz="2600" b="1" i="0" u="none" strike="noStrike">
                <a:solidFill>
                  <a:srgbClr val="000000"/>
                </a:solidFill>
                <a:latin typeface="Aptos Narrow"/>
              </a:rPr>
              <a:pPr/>
              <a:t>974,693</a:t>
            </a:fld>
            <a:endParaRPr lang="en-US" sz="1100"/>
          </a:p>
        </xdr:txBody>
      </xdr:sp>
    </xdr:grpSp>
    <xdr:clientData/>
  </xdr:twoCellAnchor>
  <xdr:twoCellAnchor editAs="oneCell">
    <xdr:from>
      <xdr:col>24</xdr:col>
      <xdr:colOff>381942</xdr:colOff>
      <xdr:row>24</xdr:row>
      <xdr:rowOff>70556</xdr:rowOff>
    </xdr:from>
    <xdr:to>
      <xdr:col>27</xdr:col>
      <xdr:colOff>235186</xdr:colOff>
      <xdr:row>34</xdr:row>
      <xdr:rowOff>34595</xdr:rowOff>
    </xdr:to>
    <mc:AlternateContent xmlns:mc="http://schemas.openxmlformats.org/markup-compatibility/2006" xmlns:a14="http://schemas.microsoft.com/office/drawing/2010/main">
      <mc:Choice Requires="a14">
        <xdr:graphicFrame macro="">
          <xdr:nvGraphicFramePr>
            <xdr:cNvPr id="16" name="BrandName 1">
              <a:extLst>
                <a:ext uri="{FF2B5EF4-FFF2-40B4-BE49-F238E27FC236}">
                  <a16:creationId xmlns:a16="http://schemas.microsoft.com/office/drawing/2014/main" id="{450CF9EA-6AAF-45F7-BA04-AA370F8D6240}"/>
                </a:ext>
              </a:extLst>
            </xdr:cNvPr>
            <xdr:cNvGraphicFramePr/>
          </xdr:nvGraphicFramePr>
          <xdr:xfrm>
            <a:off x="0" y="0"/>
            <a:ext cx="0" cy="0"/>
          </xdr:xfrm>
          <a:graphic>
            <a:graphicData uri="http://schemas.microsoft.com/office/drawing/2010/slicer">
              <sle:slicer xmlns:sle="http://schemas.microsoft.com/office/drawing/2010/slicer" name="BrandName 1"/>
            </a:graphicData>
          </a:graphic>
        </xdr:graphicFrame>
      </mc:Choice>
      <mc:Fallback xmlns="">
        <xdr:sp macro="" textlink="">
          <xdr:nvSpPr>
            <xdr:cNvPr id="0" name=""/>
            <xdr:cNvSpPr>
              <a:spLocks noTextEdit="1"/>
            </xdr:cNvSpPr>
          </xdr:nvSpPr>
          <xdr:spPr>
            <a:xfrm>
              <a:off x="14904766" y="4439580"/>
              <a:ext cx="1669866" cy="175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393701</xdr:colOff>
      <xdr:row>34</xdr:row>
      <xdr:rowOff>82314</xdr:rowOff>
    </xdr:from>
    <xdr:to>
      <xdr:col>27</xdr:col>
      <xdr:colOff>235186</xdr:colOff>
      <xdr:row>54</xdr:row>
      <xdr:rowOff>11761</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17BDF184-4B2A-4FB6-A441-F0442EC52DB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919065" y="6246819"/>
              <a:ext cx="1655567" cy="351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11760</xdr:colOff>
      <xdr:row>5</xdr:row>
      <xdr:rowOff>124906</xdr:rowOff>
    </xdr:from>
    <xdr:to>
      <xdr:col>14</xdr:col>
      <xdr:colOff>435134</xdr:colOff>
      <xdr:row>7</xdr:row>
      <xdr:rowOff>171984</xdr:rowOff>
    </xdr:to>
    <xdr:pic>
      <xdr:nvPicPr>
        <xdr:cNvPr id="23" name="Picture 22">
          <a:extLst>
            <a:ext uri="{FF2B5EF4-FFF2-40B4-BE49-F238E27FC236}">
              <a16:creationId xmlns:a16="http://schemas.microsoft.com/office/drawing/2014/main" id="{421255C4-0AC5-0527-3A48-AB7EF077D49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72501" y="1065647"/>
          <a:ext cx="423374" cy="423374"/>
        </a:xfrm>
        <a:prstGeom prst="rect">
          <a:avLst/>
        </a:prstGeom>
      </xdr:spPr>
    </xdr:pic>
    <xdr:clientData/>
  </xdr:twoCellAnchor>
  <xdr:twoCellAnchor editAs="oneCell">
    <xdr:from>
      <xdr:col>20</xdr:col>
      <xdr:colOff>0</xdr:colOff>
      <xdr:row>5</xdr:row>
      <xdr:rowOff>105736</xdr:rowOff>
    </xdr:from>
    <xdr:to>
      <xdr:col>20</xdr:col>
      <xdr:colOff>391917</xdr:colOff>
      <xdr:row>7</xdr:row>
      <xdr:rowOff>121357</xdr:rowOff>
    </xdr:to>
    <xdr:pic>
      <xdr:nvPicPr>
        <xdr:cNvPr id="25" name="Picture 24">
          <a:extLst>
            <a:ext uri="{FF2B5EF4-FFF2-40B4-BE49-F238E27FC236}">
              <a16:creationId xmlns:a16="http://schemas.microsoft.com/office/drawing/2014/main" id="{A5B14F53-79A2-405B-3B64-C2CB52C748F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229630" y="1046477"/>
          <a:ext cx="391917" cy="39191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0023146" backgroundQuery="1" createdVersion="8" refreshedVersion="8" minRefreshableVersion="3" recordCount="0" supportSubquery="1" supportAdvancedDrill="1" xr:uid="{8ACBB521-BDAE-47C7-8403-4B12DA2B33EE}">
  <cacheSource type="external" connectionId="10"/>
  <cacheFields count="8">
    <cacheField name="[Products].[Category].[Category]" caption="Category" numFmtId="0" hierarchy="35" level="1">
      <sharedItems count="5">
        <s v="Beauty"/>
        <s v="Electronics"/>
        <s v="Fashion"/>
        <s v="Home"/>
        <s v="Sports"/>
      </sharedItems>
    </cacheField>
    <cacheField name="[Measures].[Sum of TotalAmount]" caption="Sum of TotalAmount" numFmtId="0" hierarchy="39"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Brands].[BrandName].[BrandName]" caption="BrandName" numFmtId="0" hierarchy="16" level="1">
      <sharedItems containsSemiMixedTypes="0" containsNonDate="0" containsString="0"/>
    </cacheField>
    <cacheField name="[Branches].[BranchName].[BranchName]" caption="BranchName" numFmtId="0" hierarchy="12"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7"/>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6"/>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oneField="1">
      <fieldsUsage count="1">
        <fieldUsage x="1"/>
      </fieldsUsage>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0949077" backgroundQuery="1" createdVersion="8" refreshedVersion="8" minRefreshableVersion="3" recordCount="0" supportSubquery="1" supportAdvancedDrill="1" xr:uid="{48564FA5-DF34-4080-928B-7D761A71FC79}">
  <cacheSource type="external" connectionId="10"/>
  <cacheFields count="8">
    <cacheField name="[Branches].[BranchName].[BranchName]" caption="BranchName" numFmtId="0" hierarchy="12" level="1">
      <sharedItems count="5">
        <s v="Branch 1"/>
        <s v="Branch 2"/>
        <s v="Branch 3"/>
        <s v="Branch 4"/>
        <s v="Branch 5"/>
      </sharedItems>
    </cacheField>
    <cacheField name="[Measures].[Sum of TotalAmount]" caption="Sum of TotalAmount" numFmtId="0" hierarchy="39"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Brands].[BrandName].[BrandName]" caption="BrandName" numFmtId="0" hierarchy="16" level="1">
      <sharedItems containsSemiMixedTypes="0" containsNonDate="0" containsString="0"/>
    </cacheField>
    <cacheField name="[Products].[Category].[Category]" caption="Category" numFmtId="0" hierarchy="35"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7"/>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oneField="1">
      <fieldsUsage count="1">
        <fieldUsage x="1"/>
      </fieldsUsage>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1875001" backgroundQuery="1" createdVersion="8" refreshedVersion="8" minRefreshableVersion="3" recordCount="0" supportSubquery="1" supportAdvancedDrill="1" xr:uid="{007C863F-BFFB-4EE4-B955-B455C48D72AC}">
  <cacheSource type="external" connectionId="10"/>
  <cacheFields count="9">
    <cacheField name="[Calendar].[Month].[Month]" caption="Month" numFmtId="0" hierarchy="22" level="1">
      <sharedItems count="12">
        <s v="January"/>
        <s v="February"/>
        <s v="March"/>
        <s v="April"/>
        <s v="May"/>
        <s v="June"/>
        <s v="July"/>
        <s v="August"/>
        <s v="September"/>
        <s v="October"/>
        <s v="November"/>
        <s v="December"/>
      </sharedItems>
    </cacheField>
    <cacheField name="[Measures].[Sum of TotalAmount]" caption="Sum of TotalAmount" numFmtId="0" hierarchy="39"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Brands].[BrandName].[BrandName]" caption="BrandName" numFmtId="0" hierarchy="16" level="1">
      <sharedItems containsSemiMixedTypes="0" containsNonDate="0" containsString="0"/>
    </cacheField>
    <cacheField name="[Products].[Category].[Category]" caption="Category" numFmtId="0" hierarchy="35" level="1">
      <sharedItems containsSemiMixedTypes="0" containsNonDate="0" containsString="0"/>
    </cacheField>
    <cacheField name="[Branches].[BranchName].[BranchName]" caption="BranchName" numFmtId="0" hierarchy="12"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8"/>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7"/>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oneField="1">
      <fieldsUsage count="1">
        <fieldUsage x="1"/>
      </fieldsUsage>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2685186" backgroundQuery="1" createdVersion="8" refreshedVersion="8" minRefreshableVersion="3" recordCount="0" supportSubquery="1" supportAdvancedDrill="1" xr:uid="{0C017A8A-D4E8-4AF8-B26B-66BB6FEB3199}">
  <cacheSource type="external" connectionId="10"/>
  <cacheFields count="8">
    <cacheField name="[Brands].[BrandName].[BrandName]" caption="BrandName" numFmtId="0" hierarchy="16" level="1">
      <sharedItems count="5">
        <s v="Brand A"/>
        <s v="Brand B"/>
        <s v="Brand C"/>
        <s v="Brand D"/>
        <s v="Brand E"/>
      </sharedItems>
    </cacheField>
    <cacheField name="[Products].[Category].[Category]" caption="Category" numFmtId="0" hierarchy="35" level="1">
      <sharedItems count="5">
        <s v="Beauty"/>
        <s v="Electronics"/>
        <s v="Fashion"/>
        <s v="Home"/>
        <s v="Sports"/>
      </sharedItems>
    </cacheField>
    <cacheField name="[Measures].[Sum of TotalAmount]" caption="Sum of TotalAmount" numFmtId="0" hierarchy="39"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Branches].[BranchName].[BranchName]" caption="BranchName" numFmtId="0" hierarchy="12"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7"/>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6"/>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oneField="1">
      <fieldsUsage count="1">
        <fieldUsage x="2"/>
      </fieldsUsage>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3379632" backgroundQuery="1" createdVersion="8" refreshedVersion="8" minRefreshableVersion="3" recordCount="0" supportSubquery="1" supportAdvancedDrill="1" xr:uid="{6681D880-D318-415F-BCCE-E8FBBCE747D2}">
  <cacheSource type="external" connectionId="10"/>
  <cacheFields count="8">
    <cacheField name="[Measures].[Total Customers]" caption="Total Customers" numFmtId="0" hierarchy="41"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Brands].[BrandName].[BrandName]" caption="BrandName" numFmtId="0" hierarchy="16" level="1">
      <sharedItems containsSemiMixedTypes="0" containsNonDate="0" containsString="0"/>
    </cacheField>
    <cacheField name="[Products].[Category].[Category]" caption="Category" numFmtId="0" hierarchy="35" level="1">
      <sharedItems containsSemiMixedTypes="0" containsNonDate="0" containsString="0"/>
    </cacheField>
    <cacheField name="[Branches].[BranchName].[BranchName]" caption="BranchName" numFmtId="0" hierarchy="12"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7"/>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6"/>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4"/>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cacheHierarchy uniqueName="[Measures].[Total Customers]" caption="Total Customers" measure="1" displayFolder="" measureGroup="All sales" count="0" oneField="1">
      <fieldsUsage count="1">
        <fieldUsage x="0"/>
      </fieldsUsage>
    </cacheHierarchy>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3958333" backgroundQuery="1" createdVersion="8" refreshedVersion="8" minRefreshableVersion="3" recordCount="0" supportSubquery="1" supportAdvancedDrill="1" xr:uid="{EA811D23-2EFF-4200-97D0-F1F867DB90C7}">
  <cacheSource type="external" connectionId="10"/>
  <cacheFields count="8">
    <cacheField name="[Measures].[Total Sales]" caption="Total Sales" numFmtId="0" hierarchy="40"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Brands].[BrandName].[BrandName]" caption="BrandName" numFmtId="0" hierarchy="16" level="1">
      <sharedItems containsSemiMixedTypes="0" containsNonDate="0" containsString="0"/>
    </cacheField>
    <cacheField name="[Products].[Category].[Category]" caption="Category" numFmtId="0" hierarchy="35" level="1">
      <sharedItems containsSemiMixedTypes="0" containsNonDate="0" containsString="0"/>
    </cacheField>
    <cacheField name="[Branches].[BranchName].[BranchName]" caption="BranchName" numFmtId="0" hierarchy="12"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7"/>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6"/>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4"/>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oneField="1">
      <fieldsUsage count="1">
        <fieldUsage x="0"/>
      </fieldsUsage>
    </cacheHierarchy>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4884257" backgroundQuery="1" createdVersion="8" refreshedVersion="8" minRefreshableVersion="3" recordCount="0" supportSubquery="1" supportAdvancedDrill="1" xr:uid="{A8877CCB-F22C-487B-84BD-A93F17687267}">
  <cacheSource type="external" connectionId="10"/>
  <cacheFields count="9">
    <cacheField name="[Payment method].[PaymentMethod].[PaymentMethod]" caption="PaymentMethod" numFmtId="0" hierarchy="32" level="1">
      <sharedItems count="4">
        <s v="Bank Transfer"/>
        <s v="Cash"/>
        <s v="Credit Card"/>
        <s v="PayPal"/>
      </sharedItems>
    </cacheField>
    <cacheField name="[Measures].[Sum of TotalAmount]" caption="Sum of TotalAmount" numFmtId="0" hierarchy="39"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Brands].[BrandName].[BrandName]" caption="BrandName" numFmtId="0" hierarchy="16" level="1">
      <sharedItems containsSemiMixedTypes="0" containsNonDate="0" containsString="0"/>
    </cacheField>
    <cacheField name="[Products].[Category].[Category]" caption="Category" numFmtId="0" hierarchy="35" level="1">
      <sharedItems containsSemiMixedTypes="0" containsNonDate="0" containsString="0"/>
    </cacheField>
    <cacheField name="[Branches].[BranchName].[BranchName]" caption="BranchName" numFmtId="0" hierarchy="12"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8"/>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7"/>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5"/>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oneField="1">
      <fieldsUsage count="1">
        <fieldUsage x="1"/>
      </fieldsUsage>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75694442" backgroundQuery="1" createdVersion="8" refreshedVersion="8" minRefreshableVersion="3" recordCount="0" supportSubquery="1" supportAdvancedDrill="1" xr:uid="{0266E875-E4EB-4E7A-9609-DA8CB64FC169}">
  <cacheSource type="external" connectionId="10"/>
  <cacheFields count="8">
    <cacheField name="[Brands].[BrandName].[BrandName]" caption="BrandName" numFmtId="0" hierarchy="16" level="1">
      <sharedItems count="5">
        <s v="Brand A"/>
        <s v="Brand B"/>
        <s v="Brand C"/>
        <s v="Brand D"/>
        <s v="Brand E"/>
      </sharedItems>
    </cacheField>
    <cacheField name="[Measures].[Total Sales]" caption="Total Sales" numFmtId="0" hierarchy="40"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 name="[Products].[Category].[Category]" caption="Category" numFmtId="0" hierarchy="35" level="1">
      <sharedItems containsSemiMixedTypes="0" containsNonDate="0" containsString="0"/>
    </cacheField>
    <cacheField name="[Branches].[BranchName].[BranchName]" caption="BranchName" numFmtId="0" hierarchy="12" level="1">
      <sharedItems containsSemiMixedTypes="0" containsNonDate="0" containsString="0"/>
    </cacheField>
    <cacheField name="[All sales].[PaymentMethod].[PaymentMethod]" caption="PaymentMethod" numFmtId="0" hierarchy="7" level="1">
      <sharedItems containsSemiMixedTypes="0" containsNonDate="0" containsString="0"/>
    </cacheField>
  </cacheFields>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fieldsUsage count="2">
        <fieldUsage x="-1"/>
        <fieldUsage x="7"/>
      </fieldsUsage>
    </cacheHierarchy>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6"/>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oneField="1">
      <fieldsUsage count="1">
        <fieldUsage x="1"/>
      </fieldsUsage>
    </cacheHierarchy>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All sales" uniqueName="[All sales]" caption="All sales"/>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s" uniqueName="[Products]" caption="Products"/>
  </dimensions>
  <measureGroups count="7">
    <measureGroup name="All sales" caption="All sales"/>
    <measureGroup name="Branches" caption="Branches"/>
    <measureGroup name="Brands" caption="Brands"/>
    <measureGroup name="Calendar" caption="Calendar"/>
    <measureGroup name="Customers" caption="Customers"/>
    <measureGroup name="Payment method" caption="Payment method"/>
    <measureGroup name="Products" caption="Products"/>
  </measureGroups>
  <maps count="14">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em kamal eldin Abdelaziz" refreshedDate="46142.051368865737" backgroundQuery="1" createdVersion="3" refreshedVersion="8" minRefreshableVersion="3" recordCount="0" supportSubquery="1" supportAdvancedDrill="1" xr:uid="{C2A60C13-E394-4FDC-8E1F-5F6A5605E9DD}">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All sales].[SaleID]" caption="SaleID" attribute="1" defaultMemberUniqueName="[All sales].[SaleID].[All]" allUniqueName="[All sales].[SaleID].[All]" dimensionUniqueName="[All sales]" displayFolder="" count="0" memberValueDatatype="20" unbalanced="0"/>
    <cacheHierarchy uniqueName="[All sales].[CustomerID]" caption="CustomerID" attribute="1" defaultMemberUniqueName="[All sales].[CustomerID].[All]" allUniqueName="[All sales].[CustomerID].[All]" dimensionUniqueName="[All sales]" displayFolder="" count="0" memberValueDatatype="20" unbalanced="0"/>
    <cacheHierarchy uniqueName="[All sales].[ProductID]" caption="ProductID" attribute="1" defaultMemberUniqueName="[All sales].[ProductID].[All]" allUniqueName="[All sales].[ProductID].[All]" dimensionUniqueName="[All sales]" displayFolder="" count="0" memberValueDatatype="20" unbalanced="0"/>
    <cacheHierarchy uniqueName="[All sales].[BranchID]" caption="BranchID" attribute="1" defaultMemberUniqueName="[All sales].[BranchID].[All]" allUniqueName="[All sales].[BranchID].[All]" dimensionUniqueName="[All sales]" displayFolder="" count="0" memberValueDatatype="20" unbalanced="0"/>
    <cacheHierarchy uniqueName="[All sales].[Date]" caption="Date" attribute="1" time="1" defaultMemberUniqueName="[All sales].[Date].[All]" allUniqueName="[All sales].[Date].[All]" dimensionUniqueName="[All sales]" displayFolder="" count="0" memberValueDatatype="7" unbalanced="0"/>
    <cacheHierarchy uniqueName="[All sales].[Quantity]" caption="Quantity" attribute="1" defaultMemberUniqueName="[All sales].[Quantity].[All]" allUniqueName="[All sales].[Quantity].[All]" dimensionUniqueName="[All sales]" displayFolder="" count="0" memberValueDatatype="20" unbalanced="0"/>
    <cacheHierarchy uniqueName="[All sales].[TotalAmount]" caption="TotalAmount" attribute="1" defaultMemberUniqueName="[All sales].[TotalAmount].[All]" allUniqueName="[All sales].[TotalAmount].[All]" dimensionUniqueName="[All sales]" displayFolder="" count="0" memberValueDatatype="5" unbalanced="0"/>
    <cacheHierarchy uniqueName="[All sales].[PaymentMethod]" caption="PaymentMethod" attribute="1" defaultMemberUniqueName="[All sales].[PaymentMethod].[All]" allUniqueName="[All sales].[PaymentMethod].[All]" dimensionUniqueName="[All sales]" displayFolder="" count="2" memberValueDatatype="130" unbalanced="0"/>
    <cacheHierarchy uniqueName="[All sales].[Date (Year)]" caption="Date (Year)" attribute="1" defaultMemberUniqueName="[All sales].[Date (Year)].[All]" allUniqueName="[All sales].[Date (Year)].[All]" dimensionUniqueName="[All sales]" displayFolder="" count="0" memberValueDatatype="130" unbalanced="0"/>
    <cacheHierarchy uniqueName="[All sales].[Date (Quarter)]" caption="Date (Quarter)" attribute="1" defaultMemberUniqueName="[All sales].[Date (Quarter)].[All]" allUniqueName="[All sales].[Date (Quarter)].[All]" dimensionUniqueName="[All sales]" displayFolder="" count="0" memberValueDatatype="130" unbalanced="0"/>
    <cacheHierarchy uniqueName="[All sales].[Date (Month)]" caption="Date (Month)" attribute="1" defaultMemberUniqueName="[All sales].[Date (Month)].[All]" allUniqueName="[All sales].[Date (Month)].[All]" dimensionUniqueName="[All sales]"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 sales].[Date (Month Index)]" caption="Date (Month Index)" attribute="1" defaultMemberUniqueName="[All sales].[Date (Month Index)].[All]" allUniqueName="[All sales].[Date (Month Index)].[All]" dimensionUniqueName="[All sales]" displayFolder="" count="0" memberValueDatatype="20" unbalanced="0" hidden="1"/>
    <cacheHierarchy uniqueName="[Measures].[Sum of TotalAmount]" caption="Sum of TotalAmount" measure="1" displayFolder="" measureGroup="All sales" count="0">
      <extLst>
        <ext xmlns:x15="http://schemas.microsoft.com/office/spreadsheetml/2010/11/main" uri="{B97F6D7D-B522-45F9-BDA1-12C45D357490}">
          <x15:cacheHierarchy aggregatedColumn="6"/>
        </ext>
      </extLst>
    </cacheHierarchy>
    <cacheHierarchy uniqueName="[Measures].[Total Sales]" caption="Total Sales" measure="1" displayFolder="" measureGroup="All sales" count="0"/>
    <cacheHierarchy uniqueName="[Measures].[Total Customers]" caption="Total Customers" measure="1" displayFolder="" measureGroup="All sales" count="0"/>
    <cacheHierarchy uniqueName="[Measures].[__XL_Count Brands]" caption="__XL_Count Brands" measure="1" displayFolder="" measureGroup="Brands" count="0" hidden="1"/>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s]" caption="__XL_Count Products" measure="1" displayFolder="" measureGroup="Products" count="0" hidden="1"/>
    <cacheHierarchy uniqueName="[Measures].[__XL_Count All sales]" caption="__XL_Count All sales" measure="1" displayFolder="" measureGroup="All 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36754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56AD0C-511D-4F93-8986-9F28B5E812E7}" name="PivotTable4" cacheId="241" applyNumberFormats="0" applyBorderFormats="0" applyFontFormats="0" applyPatternFormats="0" applyAlignmentFormats="0" applyWidthHeightFormats="1" dataCaption="Values" tag="f15201d4-6046-4aac-b8dc-df5a2100aa39" updatedVersion="8" minRefreshableVersion="3" useAutoFormatting="1" itemPrintTitles="1" createdVersion="8" indent="0" outline="1" outlineData="1" multipleFieldFilters="0" chartFormat="11">
  <location ref="D20:E26" firstHeaderRow="1" firstDataRow="1" firstDataCol="1"/>
  <pivotFields count="8">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ales Per Branch" fld="1" baseField="0" baseItem="0" numFmtId="164"/>
  </dataFields>
  <formats count="2">
    <format dxfId="1">
      <pivotArea collapsedLevelsAreSubtotals="1" fieldPosition="0">
        <references count="1">
          <reference field="0" count="1">
            <x v="0"/>
          </reference>
        </references>
      </pivotArea>
    </format>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188B3B-BB43-49BE-826F-8FAE7FF7318E}" name="PivotTable2" cacheId="238" applyNumberFormats="0" applyBorderFormats="0" applyFontFormats="0" applyPatternFormats="0" applyAlignmentFormats="0" applyWidthHeightFormats="1" dataCaption="Values" tag="7f272311-26f4-4e13-8e8c-637d32f113fb" updatedVersion="8" minRefreshableVersion="3" useAutoFormatting="1" itemPrintTitles="1" createdVersion="8" indent="0" outline="1" outlineData="1" multipleFieldFilters="0" chartFormat="23">
  <location ref="D9:E15" firstHeaderRow="1" firstDataRow="1" firstDataCol="1"/>
  <pivotFields count="8">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1"/>
    </i>
    <i>
      <x/>
    </i>
    <i>
      <x v="3"/>
    </i>
    <i>
      <x v="4"/>
    </i>
    <i t="grand">
      <x/>
    </i>
  </rowItems>
  <colItems count="1">
    <i/>
  </colItems>
  <dataFields count="1">
    <dataField name="Sales Per Category" fld="1" baseField="0" baseItem="0" numFmtId="164"/>
  </dataFields>
  <formats count="1">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All sale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6EAF4-D31D-4FAF-B4E6-37E383F23E16}" name="PivotTable9" cacheId="256" applyNumberFormats="0" applyBorderFormats="0" applyFontFormats="0" applyPatternFormats="0" applyAlignmentFormats="0" applyWidthHeightFormats="1" dataCaption="Values" tag="b6e79d99-39ca-48aa-841f-42b5a27b4848" updatedVersion="8" minRefreshableVersion="3" useAutoFormatting="1" itemPrintTitles="1" createdVersion="8" indent="0" outline="1" outlineData="1" multipleFieldFilters="0" chartFormat="5">
  <location ref="S8:T13" firstHeaderRow="1" firstDataRow="1" firstDataCol="1"/>
  <pivotFields count="9">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Sales Per Payment Method" fld="1" baseField="0" baseItem="0" numFmtId="164"/>
  </dataFields>
  <formats count="1">
    <format dxfId="3">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592F1-28D0-40C2-A729-F114C1AF833C}" name="PivotTable8" cacheId="244" applyNumberFormats="0" applyBorderFormats="0" applyFontFormats="0" applyPatternFormats="0" applyAlignmentFormats="0" applyWidthHeightFormats="1" dataCaption="Values" tag="d412f701-5e56-457e-a065-98f51b3bcaf6" updatedVersion="8" minRefreshableVersion="3" useAutoFormatting="1" subtotalHiddenItems="1" itemPrintTitles="1" createdVersion="8" indent="0" outline="1" outlineData="1" multipleFieldFilters="0" chartFormat="20">
  <location ref="J20:K33" firstHeaderRow="1" firstDataRow="1" firstDataCol="1"/>
  <pivotFields count="9">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ales Per Month" fld="1" baseField="0" baseItem="0" numFmtId="164"/>
  </dataFields>
  <formats count="1">
    <format dxfId="4">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ll sales]"/>
        <x15:activeTabTopLevelEntity name="[Brands]"/>
        <x15:activeTabTopLevelEntity name="[Product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9B7DE-29AB-44D4-AE11-F876AC9B7822}" name="PivotTable1" cacheId="259" applyNumberFormats="0" applyBorderFormats="0" applyFontFormats="0" applyPatternFormats="0" applyAlignmentFormats="0" applyWidthHeightFormats="1" dataCaption="Values" tag="7159ca92-232f-472f-baea-583455203776" updatedVersion="8" minRefreshableVersion="3" useAutoFormatting="1" itemPrintTitles="1" createdVersion="8" indent="0" outline="1" outlineData="1" multipleFieldFilters="0">
  <location ref="J9:K15" firstHeaderRow="1" firstDataRow="1" firstDataCol="1"/>
  <pivotFields count="8">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ales Per Brand" fld="1" subtotal="count" baseField="0" baseItem="0" numFmtId="164"/>
  </dataFields>
  <formats count="1">
    <format dxfId="5">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All sales]"/>
        <x15:activeTabTopLevelEntity name="[Product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6DDD55-6E1C-4A20-8C00-2F7CC81E0547}" name="PivotTable12" cacheId="253" applyNumberFormats="0" applyBorderFormats="0" applyFontFormats="0" applyPatternFormats="0" applyAlignmentFormats="0" applyWidthHeightFormats="1" dataCaption="Values" tag="744118d6-fcbb-4771-b775-6f8305e07dfe" updatedVersion="8" minRefreshableVersion="3" useAutoFormatting="1" itemPrintTitles="1" createdVersion="8" indent="0" outline="1" outlineData="1" multipleFieldFilters="0">
  <location ref="K37:K38" firstHeaderRow="1" firstDataRow="1" firstDataCol="0"/>
  <pivotFields count="8">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6">
    <format dxfId="11">
      <pivotArea outline="0" collapsedLevelsAreSubtotals="1" fieldPosition="0"/>
    </format>
    <format dxfId="10">
      <pivotArea dataOnly="0" labelOnly="1" outline="0" axis="axisValues" fieldPosition="0"/>
    </format>
    <format dxfId="9">
      <pivotArea dataOnly="0" labelOnly="1" outline="0" axis="axisValues" fieldPosition="0"/>
    </format>
    <format dxfId="8">
      <pivotArea outline="0" collapsedLevelsAreSubtotals="1" fieldPosition="0"/>
    </format>
    <format dxfId="7">
      <pivotArea outline="0" collapsedLevelsAreSubtotals="1" fieldPosition="0"/>
    </format>
    <format dxfId="6">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3A6165-2157-469B-9E66-E843F62274C5}" name="PivotTable10" cacheId="247" applyNumberFormats="0" applyBorderFormats="0" applyFontFormats="0" applyPatternFormats="0" applyAlignmentFormats="0" applyWidthHeightFormats="1" dataCaption="Values" tag="aeb8be20-e385-4441-b479-08ad4fbaf81c" updatedVersion="8" minRefreshableVersion="3" useAutoFormatting="1" itemPrintTitles="1" createdVersion="8" indent="0" outline="1" outlineData="1" multipleFieldFilters="0" chartFormat="34">
  <location ref="S20:Y27" firstHeaderRow="1" firstDataRow="2" firstDataCol="1"/>
  <pivotFields count="8">
    <pivotField axis="axisCol" allDrilled="1" subtotalTop="0" showAll="0" dataSourceSort="1" defaultSubtotal="0" defaultAttributeDrillState="1">
      <items count="5">
        <item x="0"/>
        <item x="1"/>
        <item x="2"/>
        <item x="3"/>
        <item x="4"/>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1"/>
    </i>
    <i>
      <x/>
    </i>
    <i>
      <x v="3"/>
    </i>
    <i>
      <x v="4"/>
    </i>
    <i t="grand">
      <x/>
    </i>
  </rowItems>
  <colFields count="1">
    <field x="0"/>
  </colFields>
  <colItems count="6">
    <i>
      <x/>
    </i>
    <i>
      <x v="1"/>
    </i>
    <i>
      <x v="2"/>
    </i>
    <i>
      <x v="3"/>
    </i>
    <i>
      <x v="4"/>
    </i>
    <i t="grand">
      <x/>
    </i>
  </colItems>
  <dataFields count="1">
    <dataField name="sales per brand&amp;category" fld="2" baseField="0" baseItem="0" numFmtId="164"/>
  </dataFields>
  <formats count="1">
    <format dxfId="12">
      <pivotArea outline="0" collapsedLevelsAreSubtotals="1" fieldPosition="0"/>
    </format>
  </formats>
  <chartFormats count="10">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2">
          <reference field="4294967294" count="1" selected="0">
            <x v="0"/>
          </reference>
          <reference field="0" count="1" selected="0">
            <x v="4"/>
          </reference>
        </references>
      </pivotArea>
    </chartFormat>
    <chartFormat chart="15" format="16" series="1">
      <pivotArea type="data" outline="0" fieldPosition="0">
        <references count="2">
          <reference field="4294967294" count="1" selected="0">
            <x v="0"/>
          </reference>
          <reference field="0" count="1" selected="0">
            <x v="1"/>
          </reference>
        </references>
      </pivotArea>
    </chartFormat>
    <chartFormat chart="15" format="17" series="1">
      <pivotArea type="data" outline="0" fieldPosition="0">
        <references count="2">
          <reference field="4294967294" count="1" selected="0">
            <x v="0"/>
          </reference>
          <reference field="0" count="1" selected="0">
            <x v="2"/>
          </reference>
        </references>
      </pivotArea>
    </chartFormat>
    <chartFormat chart="15" format="18" series="1">
      <pivotArea type="data" outline="0" fieldPosition="0">
        <references count="2">
          <reference field="4294967294" count="1" selected="0">
            <x v="0"/>
          </reference>
          <reference field="0" count="1" selected="0">
            <x v="3"/>
          </reference>
        </references>
      </pivotArea>
    </chartFormat>
    <chartFormat chart="15" format="19" series="1">
      <pivotArea type="data" outline="0" fieldPosition="0">
        <references count="2">
          <reference field="4294967294" count="1" selected="0">
            <x v="0"/>
          </reference>
          <reference field="0" count="1" selected="0">
            <x v="4"/>
          </reference>
        </references>
      </pivotArea>
    </chartFormat>
    <chartFormat chart="15" format="20" series="1">
      <pivotArea type="data" outline="0" fieldPosition="0">
        <references count="2">
          <reference field="4294967294" count="1" selected="0">
            <x v="0"/>
          </reference>
          <reference field="0"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Product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B52625-CBBB-4280-B948-6BE548498917}" name="PivotTable11" cacheId="250" applyNumberFormats="0" applyBorderFormats="0" applyFontFormats="0" applyPatternFormats="0" applyAlignmentFormats="0" applyWidthHeightFormats="1" dataCaption="Values" tag="c8e9722c-d7cc-4e57-abd0-e2b5c61f40ea" updatedVersion="8" minRefreshableVersion="3" useAutoFormatting="1" itemPrintTitles="1" createdVersion="8" indent="0" outline="1" outlineData="1" multipleFieldFilters="0">
  <location ref="H37:H38" firstHeaderRow="1" firstDataRow="1" firstDataCol="0"/>
  <pivotFields count="8">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9">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outline="0" collapsedLevelsAreSubtotals="1" fieldPosition="0"/>
    </format>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599DA279-D332-4E3A-96F8-A88584C969CD}" sourceName="[Brands].[BrandName]">
  <pivotTables>
    <pivotTable tabId="10" name="PivotTable1"/>
    <pivotTable tabId="10" name="PivotTable2"/>
    <pivotTable tabId="10" name="PivotTable4"/>
    <pivotTable tabId="10" name="PivotTable8"/>
    <pivotTable tabId="10" name="PivotTable10"/>
    <pivotTable tabId="10" name="PivotTable11"/>
    <pivotTable tabId="10" name="PivotTable12"/>
    <pivotTable tabId="10" name="PivotTable9"/>
  </pivotTables>
  <data>
    <olap pivotCacheId="653675477">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807B7C-FAD2-4B31-B07C-1940D4CB7C8A}" sourceName="[Products].[Category]">
  <pivotTables>
    <pivotTable tabId="10" name="PivotTable2"/>
    <pivotTable tabId="10" name="PivotTable1"/>
    <pivotTable tabId="10" name="PivotTable4"/>
    <pivotTable tabId="10" name="PivotTable8"/>
    <pivotTable tabId="10" name="PivotTable10"/>
    <pivotTable tabId="10" name="PivotTable11"/>
    <pivotTable tabId="10" name="PivotTable12"/>
    <pivotTable tabId="10" name="PivotTable9"/>
  </pivotTables>
  <data>
    <olap pivotCacheId="653675477">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D99E86FD-8A24-4C60-826F-F4344CB7C9D9}" sourceName="[Branches].[BranchName]">
  <pivotTables>
    <pivotTable tabId="10" name="PivotTable2"/>
    <pivotTable tabId="10" name="PivotTable1"/>
    <pivotTable tabId="10" name="PivotTable4"/>
    <pivotTable tabId="10" name="PivotTable8"/>
    <pivotTable tabId="10" name="PivotTable10"/>
    <pivotTable tabId="10" name="PivotTable11"/>
    <pivotTable tabId="10" name="PivotTable12"/>
    <pivotTable tabId="10" name="PivotTable9"/>
  </pivotTables>
  <data>
    <olap pivotCacheId="653675477">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3BCEF37-E712-4F05-8B55-A1DF4E415F6C}" sourceName="[All sales].[PaymentMethod]">
  <pivotTables>
    <pivotTable tabId="10" name="PivotTable9"/>
    <pivotTable tabId="10" name="PivotTable1"/>
    <pivotTable tabId="10" name="PivotTable10"/>
    <pivotTable tabId="10" name="PivotTable11"/>
    <pivotTable tabId="10" name="PivotTable12"/>
    <pivotTable tabId="10" name="PivotTable2"/>
    <pivotTable tabId="10" name="PivotTable4"/>
    <pivotTable tabId="10" name="PivotTable8"/>
  </pivotTables>
  <data>
    <olap pivotCacheId="653675477">
      <levels count="2">
        <level uniqueName="[All sales].[PaymentMethod].[(All)]" sourceCaption="(All)" count="0"/>
        <level uniqueName="[All sales].[PaymentMethod].[PaymentMethod]" sourceCaption="PaymentMethod" count="4">
          <ranges>
            <range startItem="0">
              <i n="[All sales].[PaymentMethod].&amp;[Bank Transfer]" c="Bank Transfer"/>
              <i n="[All sales].[PaymentMethod].&amp;[Cash]" c="Cash"/>
              <i n="[All sales].[PaymentMethod].&amp;[Credit Card]" c="Credit Card"/>
              <i n="[All sales].[PaymentMethod].&amp;[PayPal]" c="PayPal"/>
            </range>
          </ranges>
        </level>
      </levels>
      <selections count="1">
        <selection n="[All sales].[Payment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49A8348A-AD06-41E7-A3D9-D86D7676C5DD}" sourceName="[Calendar].[Date Hierarchy]">
  <pivotTables>
    <pivotTable tabId="10" name="PivotTable8"/>
    <pivotTable tabId="10" name="PivotTable1"/>
    <pivotTable tabId="10" name="PivotTable10"/>
    <pivotTable tabId="10" name="PivotTable11"/>
    <pivotTable tabId="10" name="PivotTable12"/>
    <pivotTable tabId="10" name="PivotTable2"/>
    <pivotTable tabId="10" name="PivotTable4"/>
    <pivotTable tabId="10" name="PivotTable9"/>
  </pivotTables>
  <data>
    <olap pivotCacheId="653675477">
      <levels count="4">
        <level uniqueName="[Calendar].[Date Hierarchy].[(All)]" sourceCaption="(All)" count="0"/>
        <level uniqueName="[Calendar].[Date Hierarchy].[Year]" sourceCaption="Year" count="0"/>
        <level uniqueName="[Calendar].[Date Hierarchy].[Month]" sourceCaption="Month" count="24">
          <ranges>
            <range startItem="0">
              <i n="[Calendar].[Date Hierarchy].[Year].&amp;[2023].&amp;[December]" c="December">
                <p n="[Calendar].[Date Hierarchy].[Year].&amp;[2023]"/>
              </i>
              <i n="[Calendar].[Date Hierarchy].[Year].&amp;[2024].&amp;[January]" c="January">
                <p n="[Calendar].[Date Hierarchy].[Year].&amp;[2024]"/>
              </i>
              <i n="[Calendar].[Date Hierarchy].[Year].&amp;[2024].&amp;[February]" c="February">
                <p n="[Calendar].[Date Hierarchy].[Year].&amp;[2024]"/>
              </i>
              <i n="[Calendar].[Date Hierarchy].[Year].&amp;[2024].&amp;[March]" c="March">
                <p n="[Calendar].[Date Hierarchy].[Year].&amp;[2024]"/>
              </i>
              <i n="[Calendar].[Date Hierarchy].[Year].&amp;[2024].&amp;[April]" c="April">
                <p n="[Calendar].[Date Hierarchy].[Year].&amp;[2024]"/>
              </i>
              <i n="[Calendar].[Date Hierarchy].[Year].&amp;[2024].&amp;[May]" c="May">
                <p n="[Calendar].[Date Hierarchy].[Year].&amp;[2024]"/>
              </i>
              <i n="[Calendar].[Date Hierarchy].[Year].&amp;[2024].&amp;[June]" c="June">
                <p n="[Calendar].[Date Hierarchy].[Year].&amp;[2024]"/>
              </i>
              <i n="[Calendar].[Date Hierarchy].[Year].&amp;[2024].&amp;[July]" c="July">
                <p n="[Calendar].[Date Hierarchy].[Year].&amp;[2024]"/>
              </i>
              <i n="[Calendar].[Date Hierarchy].[Year].&amp;[2024].&amp;[August]" c="August">
                <p n="[Calendar].[Date Hierarchy].[Year].&amp;[2024]"/>
              </i>
              <i n="[Calendar].[Date Hierarchy].[Year].&amp;[2024].&amp;[September]" c="September">
                <p n="[Calendar].[Date Hierarchy].[Year].&amp;[2024]"/>
              </i>
              <i n="[Calendar].[Date Hierarchy].[Year].&amp;[2024].&amp;[October]" c="October">
                <p n="[Calendar].[Date Hierarchy].[Year].&amp;[2024]"/>
              </i>
              <i n="[Calendar].[Date Hierarchy].[Year].&amp;[2024].&amp;[November]" c="November">
                <p n="[Calendar].[Date Hierarchy].[Year].&amp;[2024]"/>
              </i>
              <i n="[Calendar].[Date Hierarchy].[Year].&amp;[2024].&amp;[December]" c="December">
                <p n="[Calendar].[Date Hierarchy].[Year].&amp;[2024]"/>
              </i>
              <i n="[Calendar].[Date Hierarchy].[Year].&amp;[2023].&amp;[January]" c="January" nd="1">
                <p n="[Calendar].[Date Hierarchy].[Year].&amp;[2023]"/>
              </i>
              <i n="[Calendar].[Date Hierarchy].[Year].&amp;[2023].&amp;[February]" c="February" nd="1">
                <p n="[Calendar].[Date Hierarchy].[Year].&amp;[2023]"/>
              </i>
              <i n="[Calendar].[Date Hierarchy].[Year].&amp;[2023].&amp;[March]" c="March" nd="1">
                <p n="[Calendar].[Date Hierarchy].[Year].&amp;[2023]"/>
              </i>
              <i n="[Calendar].[Date Hierarchy].[Year].&amp;[2023].&amp;[April]" c="April" nd="1">
                <p n="[Calendar].[Date Hierarchy].[Year].&amp;[2023]"/>
              </i>
              <i n="[Calendar].[Date Hierarchy].[Year].&amp;[2023].&amp;[May]" c="May" nd="1">
                <p n="[Calendar].[Date Hierarchy].[Year].&amp;[2023]"/>
              </i>
              <i n="[Calendar].[Date Hierarchy].[Year].&amp;[2023].&amp;[June]" c="June" nd="1">
                <p n="[Calendar].[Date Hierarchy].[Year].&amp;[2023]"/>
              </i>
              <i n="[Calendar].[Date Hierarchy].[Year].&amp;[2023].&amp;[July]" c="July" nd="1">
                <p n="[Calendar].[Date Hierarchy].[Year].&amp;[2023]"/>
              </i>
              <i n="[Calendar].[Date Hierarchy].[Year].&amp;[2023].&amp;[August]" c="August" nd="1">
                <p n="[Calendar].[Date Hierarchy].[Year].&amp;[2023]"/>
              </i>
              <i n="[Calendar].[Date Hierarchy].[Year].&amp;[2023].&amp;[September]" c="September" nd="1">
                <p n="[Calendar].[Date Hierarchy].[Year].&amp;[2023]"/>
              </i>
              <i n="[Calendar].[Date Hierarchy].[Year].&amp;[2023].&amp;[October]" c="October" nd="1">
                <p n="[Calendar].[Date Hierarchy].[Year].&amp;[2023]"/>
              </i>
              <i n="[Calendar].[Date Hierarchy].[Year].&amp;[2023].&amp;[November]" c="November" nd="1">
                <p n="[Calendar].[Date Hierarchy].[Year].&amp;[2023]"/>
              </i>
            </range>
          </ranges>
        </level>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xr10:uid="{88C9A1FF-7CF1-4493-850A-9B46E43883C5}" cache="Slicer_BrandName" caption="BrandName" level="1" rowHeight="251883"/>
  <slicer name="Category" xr10:uid="{215252F8-CCDD-4128-8C2D-1909B39F1B70}" cache="Slicer_Category" caption="Category" level="1" rowHeight="251883"/>
  <slicer name="BranchName" xr10:uid="{8D103111-4C73-4B4E-A23C-E5589F5A4D5B}" cache="Slicer_BranchName" caption="BranchName" level="1" rowHeight="251883"/>
  <slicer name="PaymentMethod" xr10:uid="{3123618F-7C95-47D5-BC8B-61D764A6DC12}" cache="Slicer_PaymentMethod" caption="PaymentMethod" level="1" rowHeight="251883"/>
  <slicer name="Month" xr10:uid="{2D7AFF89-EDA7-4990-9854-376B935379CE}" cache="Slicer_Date_Hierarchy" caption="Month" startItem="3" level="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1" xr10:uid="{1771552C-6F4C-4C5C-A371-1022FC1D408B}" cache="Slicer_BrandName" caption="BrandName" level="1" style="SlicerStyleLight5" rowHeight="251883"/>
  <slicer name="Category 1" xr10:uid="{7B438ED5-897E-4F1C-A80A-509A821AD852}" cache="Slicer_Category" caption="Category" level="1" style="SlicerStyleLight5" rowHeight="251883"/>
  <slicer name="Month 1" xr10:uid="{D8C6C96E-8D79-4CA1-8182-3D81447182E9}" cache="Slicer_Date_Hierarchy" caption="Month" level="2" style="SlicerStyleLight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9CBF-ADB3-4000-A1C6-A425843ECD79}">
  <dimension ref="D8:Y38"/>
  <sheetViews>
    <sheetView zoomScale="72" zoomScaleNormal="72" workbookViewId="0">
      <selection activeCell="E14" sqref="E14"/>
    </sheetView>
  </sheetViews>
  <sheetFormatPr defaultRowHeight="14.4" x14ac:dyDescent="0.3"/>
  <cols>
    <col min="4" max="4" width="13.5546875" bestFit="1" customWidth="1"/>
    <col min="5" max="5" width="14.88671875" bestFit="1" customWidth="1"/>
    <col min="8" max="8" width="34.88671875" bestFit="1" customWidth="1"/>
    <col min="10" max="10" width="13.5546875" bestFit="1" customWidth="1"/>
    <col min="11" max="11" width="14" bestFit="1" customWidth="1"/>
    <col min="12" max="12" width="13.21875" bestFit="1" customWidth="1"/>
    <col min="19" max="19" width="13.5546875" bestFit="1" customWidth="1"/>
    <col min="20" max="20" width="23.5546875" bestFit="1" customWidth="1"/>
    <col min="21" max="24" width="9.21875" bestFit="1" customWidth="1"/>
    <col min="25" max="25" width="10.5546875" bestFit="1" customWidth="1"/>
  </cols>
  <sheetData>
    <row r="8" spans="4:20" x14ac:dyDescent="0.3">
      <c r="S8" s="1" t="s">
        <v>13</v>
      </c>
      <c r="T8" t="s">
        <v>31</v>
      </c>
    </row>
    <row r="9" spans="4:20" x14ac:dyDescent="0.3">
      <c r="D9" s="1" t="s">
        <v>13</v>
      </c>
      <c r="E9" t="s">
        <v>17</v>
      </c>
      <c r="J9" s="1" t="s">
        <v>13</v>
      </c>
      <c r="K9" t="s">
        <v>19</v>
      </c>
      <c r="S9" s="2" t="s">
        <v>10</v>
      </c>
      <c r="T9" s="3">
        <v>268474.44</v>
      </c>
    </row>
    <row r="10" spans="4:20" x14ac:dyDescent="0.3">
      <c r="D10" s="2" t="s">
        <v>12</v>
      </c>
      <c r="E10" s="3">
        <v>221302.03</v>
      </c>
      <c r="J10" s="2" t="s">
        <v>5</v>
      </c>
      <c r="K10" s="3">
        <v>164291.51</v>
      </c>
      <c r="S10" s="2" t="s">
        <v>8</v>
      </c>
      <c r="T10" s="3">
        <v>248972.84</v>
      </c>
    </row>
    <row r="11" spans="4:20" x14ac:dyDescent="0.3">
      <c r="D11" s="2" t="s">
        <v>37</v>
      </c>
      <c r="E11" s="3">
        <v>200355.14</v>
      </c>
      <c r="J11" s="2" t="s">
        <v>39</v>
      </c>
      <c r="K11" s="3">
        <v>212339.25</v>
      </c>
      <c r="S11" s="2" t="s">
        <v>9</v>
      </c>
      <c r="T11" s="3">
        <v>233038.02</v>
      </c>
    </row>
    <row r="12" spans="4:20" x14ac:dyDescent="0.3">
      <c r="D12" s="2" t="s">
        <v>38</v>
      </c>
      <c r="E12" s="3">
        <v>187779.34</v>
      </c>
      <c r="J12" s="2" t="s">
        <v>40</v>
      </c>
      <c r="K12" s="3">
        <v>196291.54</v>
      </c>
      <c r="S12" s="2" t="s">
        <v>7</v>
      </c>
      <c r="T12" s="3">
        <v>224207.86</v>
      </c>
    </row>
    <row r="13" spans="4:20" x14ac:dyDescent="0.3">
      <c r="D13" s="2" t="s">
        <v>36</v>
      </c>
      <c r="E13" s="3">
        <v>184997.63</v>
      </c>
      <c r="J13" s="2" t="s">
        <v>41</v>
      </c>
      <c r="K13" s="3">
        <v>219828.31</v>
      </c>
      <c r="S13" s="2" t="s">
        <v>14</v>
      </c>
      <c r="T13" s="3">
        <v>974693.16</v>
      </c>
    </row>
    <row r="14" spans="4:20" x14ac:dyDescent="0.3">
      <c r="D14" s="2" t="s">
        <v>11</v>
      </c>
      <c r="E14" s="3">
        <v>180259.02</v>
      </c>
      <c r="J14" s="2" t="s">
        <v>6</v>
      </c>
      <c r="K14" s="3">
        <v>181942.55</v>
      </c>
    </row>
    <row r="15" spans="4:20" x14ac:dyDescent="0.3">
      <c r="D15" s="2" t="s">
        <v>14</v>
      </c>
      <c r="E15" s="3">
        <v>974693.16</v>
      </c>
      <c r="J15" s="2" t="s">
        <v>14</v>
      </c>
      <c r="K15" s="3">
        <v>974693.16</v>
      </c>
    </row>
    <row r="20" spans="4:25" x14ac:dyDescent="0.3">
      <c r="D20" s="1" t="s">
        <v>13</v>
      </c>
      <c r="E20" t="s">
        <v>18</v>
      </c>
      <c r="J20" s="1" t="s">
        <v>13</v>
      </c>
      <c r="K20" t="s">
        <v>16</v>
      </c>
      <c r="S20" s="1" t="s">
        <v>33</v>
      </c>
      <c r="T20" s="1" t="s">
        <v>32</v>
      </c>
    </row>
    <row r="21" spans="4:25" x14ac:dyDescent="0.3">
      <c r="D21" s="2" t="s">
        <v>0</v>
      </c>
      <c r="E21" s="3">
        <v>199602.78</v>
      </c>
      <c r="J21" s="2" t="s">
        <v>20</v>
      </c>
      <c r="K21" s="3">
        <v>97353.21</v>
      </c>
      <c r="S21" s="1" t="s">
        <v>13</v>
      </c>
      <c r="T21" t="s">
        <v>5</v>
      </c>
      <c r="U21" t="s">
        <v>39</v>
      </c>
      <c r="V21" t="s">
        <v>40</v>
      </c>
      <c r="W21" t="s">
        <v>41</v>
      </c>
      <c r="X21" t="s">
        <v>6</v>
      </c>
      <c r="Y21" t="s">
        <v>14</v>
      </c>
    </row>
    <row r="22" spans="4:25" x14ac:dyDescent="0.3">
      <c r="D22" s="2" t="s">
        <v>1</v>
      </c>
      <c r="E22" s="3">
        <v>186559.72</v>
      </c>
      <c r="J22" s="2" t="s">
        <v>21</v>
      </c>
      <c r="K22" s="3">
        <v>83658.13</v>
      </c>
      <c r="S22" s="2" t="s">
        <v>12</v>
      </c>
      <c r="T22" s="3">
        <v>37171.54</v>
      </c>
      <c r="U22" s="3">
        <v>66804.320000000007</v>
      </c>
      <c r="V22" s="3">
        <v>42232.26</v>
      </c>
      <c r="W22" s="3">
        <v>36409.85</v>
      </c>
      <c r="X22" s="3">
        <v>38684.06</v>
      </c>
      <c r="Y22" s="3">
        <v>221302.03</v>
      </c>
    </row>
    <row r="23" spans="4:25" x14ac:dyDescent="0.3">
      <c r="D23" s="2" t="s">
        <v>2</v>
      </c>
      <c r="E23" s="3">
        <v>205153.17</v>
      </c>
      <c r="J23" s="2" t="s">
        <v>22</v>
      </c>
      <c r="K23" s="3">
        <v>76986.91</v>
      </c>
      <c r="S23" s="2" t="s">
        <v>37</v>
      </c>
      <c r="T23" s="3">
        <v>40237.67</v>
      </c>
      <c r="U23" s="3">
        <v>32167.33</v>
      </c>
      <c r="V23" s="3">
        <v>45580.26</v>
      </c>
      <c r="W23" s="3">
        <v>50415.79</v>
      </c>
      <c r="X23" s="3">
        <v>31954.09</v>
      </c>
      <c r="Y23" s="3">
        <v>200355.14</v>
      </c>
    </row>
    <row r="24" spans="4:25" x14ac:dyDescent="0.3">
      <c r="D24" s="2" t="s">
        <v>3</v>
      </c>
      <c r="E24" s="3">
        <v>200794.31</v>
      </c>
      <c r="J24" s="2" t="s">
        <v>23</v>
      </c>
      <c r="K24" s="3">
        <v>78257.009999999995</v>
      </c>
      <c r="S24" s="2" t="s">
        <v>38</v>
      </c>
      <c r="T24" s="3">
        <v>16945.87</v>
      </c>
      <c r="U24" s="3">
        <v>47719.63</v>
      </c>
      <c r="V24" s="3">
        <v>37907.71</v>
      </c>
      <c r="W24" s="3">
        <v>48230.21</v>
      </c>
      <c r="X24" s="3">
        <v>36975.919999999998</v>
      </c>
      <c r="Y24" s="3">
        <v>187779.34</v>
      </c>
    </row>
    <row r="25" spans="4:25" x14ac:dyDescent="0.3">
      <c r="D25" s="2" t="s">
        <v>4</v>
      </c>
      <c r="E25" s="3">
        <v>182583.18</v>
      </c>
      <c r="J25" s="2" t="s">
        <v>15</v>
      </c>
      <c r="K25" s="3">
        <v>75055.47</v>
      </c>
      <c r="S25" s="2" t="s">
        <v>36</v>
      </c>
      <c r="T25" s="3">
        <v>33578.839999999997</v>
      </c>
      <c r="U25" s="3">
        <v>38963.07</v>
      </c>
      <c r="V25" s="3">
        <v>34144.01</v>
      </c>
      <c r="W25" s="3">
        <v>36480.61</v>
      </c>
      <c r="X25" s="3">
        <v>41831.1</v>
      </c>
      <c r="Y25" s="3">
        <v>184997.63</v>
      </c>
    </row>
    <row r="26" spans="4:25" x14ac:dyDescent="0.3">
      <c r="D26" s="2" t="s">
        <v>14</v>
      </c>
      <c r="E26" s="3">
        <v>974693.16</v>
      </c>
      <c r="J26" s="2" t="s">
        <v>24</v>
      </c>
      <c r="K26" s="3">
        <v>78715.960000000006</v>
      </c>
      <c r="S26" s="2" t="s">
        <v>11</v>
      </c>
      <c r="T26" s="3">
        <v>36357.589999999997</v>
      </c>
      <c r="U26" s="3">
        <v>26684.9</v>
      </c>
      <c r="V26" s="3">
        <v>36427.300000000003</v>
      </c>
      <c r="W26" s="3">
        <v>48291.85</v>
      </c>
      <c r="X26" s="3">
        <v>32497.38</v>
      </c>
      <c r="Y26" s="3">
        <v>180259.02</v>
      </c>
    </row>
    <row r="27" spans="4:25" x14ac:dyDescent="0.3">
      <c r="J27" s="2" t="s">
        <v>25</v>
      </c>
      <c r="K27" s="3">
        <v>81131.67</v>
      </c>
      <c r="O27">
        <v>7</v>
      </c>
      <c r="S27" s="2" t="s">
        <v>14</v>
      </c>
      <c r="T27" s="3">
        <v>164291.51</v>
      </c>
      <c r="U27" s="3">
        <v>212339.25</v>
      </c>
      <c r="V27" s="3">
        <v>196291.54</v>
      </c>
      <c r="W27" s="3">
        <v>219828.31</v>
      </c>
      <c r="X27" s="3">
        <v>181942.55</v>
      </c>
      <c r="Y27" s="3">
        <v>974693.16</v>
      </c>
    </row>
    <row r="28" spans="4:25" x14ac:dyDescent="0.3">
      <c r="J28" s="2" t="s">
        <v>26</v>
      </c>
      <c r="K28" s="3">
        <v>94159.32</v>
      </c>
    </row>
    <row r="29" spans="4:25" x14ac:dyDescent="0.3">
      <c r="J29" s="2" t="s">
        <v>27</v>
      </c>
      <c r="K29" s="3">
        <v>76538.83</v>
      </c>
    </row>
    <row r="30" spans="4:25" x14ac:dyDescent="0.3">
      <c r="J30" s="2" t="s">
        <v>28</v>
      </c>
      <c r="K30" s="3">
        <v>83520.679999999993</v>
      </c>
    </row>
    <row r="31" spans="4:25" x14ac:dyDescent="0.3">
      <c r="J31" s="2" t="s">
        <v>29</v>
      </c>
      <c r="K31" s="3">
        <v>74302.64</v>
      </c>
    </row>
    <row r="32" spans="4:25" x14ac:dyDescent="0.3">
      <c r="J32" s="2" t="s">
        <v>30</v>
      </c>
      <c r="K32" s="3">
        <v>75013.33</v>
      </c>
    </row>
    <row r="33" spans="7:11" x14ac:dyDescent="0.3">
      <c r="J33" s="2" t="s">
        <v>14</v>
      </c>
      <c r="K33" s="3">
        <v>974693.16</v>
      </c>
    </row>
    <row r="37" spans="7:11" ht="33.6" x14ac:dyDescent="0.65">
      <c r="G37" s="5"/>
      <c r="H37" s="4" t="s">
        <v>34</v>
      </c>
      <c r="I37" s="5"/>
      <c r="K37" s="4" t="s">
        <v>35</v>
      </c>
    </row>
    <row r="38" spans="7:11" ht="33.6" x14ac:dyDescent="0.65">
      <c r="H38" s="9">
        <v>638</v>
      </c>
      <c r="K38" s="6">
        <v>974693.16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42FF9-F7D7-4E05-82AD-9C53281C71B4}">
  <dimension ref="A1:A14"/>
  <sheetViews>
    <sheetView showGridLines="0" tabSelected="1" zoomScale="50" zoomScaleNormal="50" workbookViewId="0">
      <selection activeCell="AM15" sqref="AM15"/>
    </sheetView>
  </sheetViews>
  <sheetFormatPr defaultColWidth="8.77734375" defaultRowHeight="14.4" x14ac:dyDescent="0.3"/>
  <cols>
    <col min="1" max="16384" width="8.77734375" style="8"/>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row r="10" s="7" customFormat="1" x14ac:dyDescent="0.3"/>
    <row r="11" s="7" customFormat="1" x14ac:dyDescent="0.3"/>
    <row r="12" s="7" customFormat="1" x14ac:dyDescent="0.3"/>
    <row r="13" s="7" customFormat="1" x14ac:dyDescent="0.3"/>
    <row r="14" ht="19.0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��',E'DJ 'DE(J9'*',E'DJ 'DE(J9'*'D9ED'! 'DF4J7JF'D9ED'! 'DF4J7JF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��',E'DJ 'DE(J9'*',E'DJ 'DE(J9'*'D9ED'! 'DF4J7JF'D9ED'! 'DF4J7JF
</file>

<file path=customXml/item19.xml>��
</file>

<file path=customXml/item20.xml>��
</file>

<file path=customXml/item21.xml>��
</file>

<file path=customXml/item22.xml>��
</file>

<file path=customXml/item23.xml>��
</file>

<file path=customXml/item24.xml>��
</file>

<file path=customXml/item25.xml>��
</file>

<file path=customXml/item26.xml>��',E'DJ 'DE(J9'*',E'DJ 'DE(J9'*'D9ED'! 'DF4J7JF'D9ED'! 'DF4J7JF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54399BEA-1DE3-4787-87B7-2BF9A6B0925A}">
  <ds:schemaRefs/>
</ds:datastoreItem>
</file>

<file path=customXml/itemProps2.xml><?xml version="1.0" encoding="utf-8"?>
<ds:datastoreItem xmlns:ds="http://schemas.openxmlformats.org/officeDocument/2006/customXml" ds:itemID="{D9234930-D000-4079-9F04-25A4B76C3F53}">
  <ds:schemaRefs/>
</ds:datastoreItem>
</file>

<file path=customXml/itemProps3.xml><?xml version="1.0" encoding="utf-8"?>
<ds:datastoreItem xmlns:ds="http://schemas.openxmlformats.org/officeDocument/2006/customXml" ds:itemID="{1F4686C8-C3F0-4E18-8E30-D3B72A3D3D02}">
  <ds:schemaRefs/>
</ds:datastoreItem>
</file>

<file path=customXml/itemProps4.xml><?xml version="1.0" encoding="utf-8"?>
<ds:datastoreItem xmlns:ds="http://schemas.openxmlformats.org/officeDocument/2006/customXml" ds:itemID="{6914B512-74BB-4221-AA73-EB4F3627032F}">
  <ds:schemaRefs/>
</ds:datastoreItem>
</file>

<file path=customXml/itemProps5.xml><?xml version="1.0" encoding="utf-8"?>
<ds:datastoreItem xmlns:ds="http://schemas.openxmlformats.org/officeDocument/2006/customXml" ds:itemID="{28709279-ABB9-42BF-96D3-B17DCBFBA0D5}">
  <ds:schemaRefs/>
</ds:datastoreItem>
</file>

<file path=customXml/itemProps6.xml><?xml version="1.0" encoding="utf-8"?>
<ds:datastoreItem xmlns:ds="http://schemas.openxmlformats.org/officeDocument/2006/customXml" ds:itemID="{0F6460F6-0936-421B-AB2A-F944CBE1725C}">
  <ds:schemaRefs/>
</ds:datastoreItem>
</file>

<file path=customXml/itemProps7.xml><?xml version="1.0" encoding="utf-8"?>
<ds:datastoreItem xmlns:ds="http://schemas.openxmlformats.org/officeDocument/2006/customXml" ds:itemID="{A99ABE20-2363-42D0-8EDD-08B66AA6DB3B}">
  <ds:schemaRefs/>
</ds:datastoreItem>
</file>

<file path=customXml/itemProps8.xml><?xml version="1.0" encoding="utf-8"?>
<ds:datastoreItem xmlns:ds="http://schemas.openxmlformats.org/officeDocument/2006/customXml" ds:itemID="{1CAC161A-0695-4727-95CD-2B192FBDA05F}">
  <ds:schemaRefs/>
</ds:datastoreItem>
</file>

<file path=customXml/itemProps9.xml><?xml version="1.0" encoding="utf-8"?>
<ds:datastoreItem xmlns:ds="http://schemas.openxmlformats.org/officeDocument/2006/customXml" ds:itemID="{350B897E-ABF7-42F4-8007-637A62364F63}">
  <ds:schemaRefs/>
</ds:datastoreItem>
</file>

<file path=customXml/itemProps10.xml><?xml version="1.0" encoding="utf-8"?>
<ds:datastoreItem xmlns:ds="http://schemas.openxmlformats.org/officeDocument/2006/customXml" ds:itemID="{D1FF44DC-E24A-454E-8483-62CCAB454FED}">
  <ds:schemaRefs/>
</ds:datastoreItem>
</file>

<file path=customXml/itemProps11.xml><?xml version="1.0" encoding="utf-8"?>
<ds:datastoreItem xmlns:ds="http://schemas.openxmlformats.org/officeDocument/2006/customXml" ds:itemID="{22C0B6E7-A11F-42A7-A188-28D7D5940E90}">
  <ds:schemaRefs/>
</ds:datastoreItem>
</file>

<file path=customXml/itemProps12.xml><?xml version="1.0" encoding="utf-8"?>
<ds:datastoreItem xmlns:ds="http://schemas.openxmlformats.org/officeDocument/2006/customXml" ds:itemID="{8DEED33C-3078-4CB0-85C5-D911BD689BF8}">
  <ds:schemaRefs/>
</ds:datastoreItem>
</file>

<file path=customXml/itemProps13.xml><?xml version="1.0" encoding="utf-8"?>
<ds:datastoreItem xmlns:ds="http://schemas.openxmlformats.org/officeDocument/2006/customXml" ds:itemID="{AF239BF5-763E-445D-B083-2C5E5F068E7F}">
  <ds:schemaRefs/>
</ds:datastoreItem>
</file>

<file path=customXml/itemProps14.xml><?xml version="1.0" encoding="utf-8"?>
<ds:datastoreItem xmlns:ds="http://schemas.openxmlformats.org/officeDocument/2006/customXml" ds:itemID="{6B910F63-AFB1-4DDF-AAD9-FA5C29CA134C}">
  <ds:schemaRefs/>
</ds:datastoreItem>
</file>

<file path=customXml/itemProps15.xml><?xml version="1.0" encoding="utf-8"?>
<ds:datastoreItem xmlns:ds="http://schemas.openxmlformats.org/officeDocument/2006/customXml" ds:itemID="{C11F2131-C40D-4B16-A590-DD8837D79F1D}">
  <ds:schemaRefs/>
</ds:datastoreItem>
</file>

<file path=customXml/itemProps16.xml><?xml version="1.0" encoding="utf-8"?>
<ds:datastoreItem xmlns:ds="http://schemas.openxmlformats.org/officeDocument/2006/customXml" ds:itemID="{AFCC3305-35AE-4CDD-9DFA-8759CB4FF983}">
  <ds:schemaRefs/>
</ds:datastoreItem>
</file>

<file path=customXml/itemProps17.xml><?xml version="1.0" encoding="utf-8"?>
<ds:datastoreItem xmlns:ds="http://schemas.openxmlformats.org/officeDocument/2006/customXml" ds:itemID="{F43CFAD3-D0BE-4CB3-82B0-28E19018282D}">
  <ds:schemaRefs/>
</ds:datastoreItem>
</file>

<file path=customXml/itemProps18.xml><?xml version="1.0" encoding="utf-8"?>
<ds:datastoreItem xmlns:ds="http://schemas.openxmlformats.org/officeDocument/2006/customXml" ds:itemID="{2325F91A-5553-4CCC-9D27-24A2DDBF3B73}">
  <ds:schemaRefs/>
</ds:datastoreItem>
</file>

<file path=customXml/itemProps19.xml><?xml version="1.0" encoding="utf-8"?>
<ds:datastoreItem xmlns:ds="http://schemas.openxmlformats.org/officeDocument/2006/customXml" ds:itemID="{8B11FBE7-9335-4991-B8F1-EF68DF745B02}">
  <ds:schemaRefs/>
</ds:datastoreItem>
</file>

<file path=customXml/itemProps20.xml><?xml version="1.0" encoding="utf-8"?>
<ds:datastoreItem xmlns:ds="http://schemas.openxmlformats.org/officeDocument/2006/customXml" ds:itemID="{908CE5FB-1E94-4D1F-A70A-1A295F128DA2}">
  <ds:schemaRefs/>
</ds:datastoreItem>
</file>

<file path=customXml/itemProps21.xml><?xml version="1.0" encoding="utf-8"?>
<ds:datastoreItem xmlns:ds="http://schemas.openxmlformats.org/officeDocument/2006/customXml" ds:itemID="{1BC1B91C-E883-4E7C-BA8F-08FE73F3829A}">
  <ds:schemaRefs/>
</ds:datastoreItem>
</file>

<file path=customXml/itemProps22.xml><?xml version="1.0" encoding="utf-8"?>
<ds:datastoreItem xmlns:ds="http://schemas.openxmlformats.org/officeDocument/2006/customXml" ds:itemID="{3A83C38B-9EFC-459F-B2A0-1CBAD6957F7F}">
  <ds:schemaRefs/>
</ds:datastoreItem>
</file>

<file path=customXml/itemProps23.xml><?xml version="1.0" encoding="utf-8"?>
<ds:datastoreItem xmlns:ds="http://schemas.openxmlformats.org/officeDocument/2006/customXml" ds:itemID="{6DD6873B-A3BF-44C3-9486-52B2A3703756}">
  <ds:schemaRefs/>
</ds:datastoreItem>
</file>

<file path=customXml/itemProps24.xml><?xml version="1.0" encoding="utf-8"?>
<ds:datastoreItem xmlns:ds="http://schemas.openxmlformats.org/officeDocument/2006/customXml" ds:itemID="{C42EC3C3-1355-4C0B-8751-BC2FDF43E46B}">
  <ds:schemaRefs/>
</ds:datastoreItem>
</file>

<file path=customXml/itemProps25.xml><?xml version="1.0" encoding="utf-8"?>
<ds:datastoreItem xmlns:ds="http://schemas.openxmlformats.org/officeDocument/2006/customXml" ds:itemID="{0D162A35-321E-46F6-A199-B02F57326D04}">
  <ds:schemaRefs/>
</ds:datastoreItem>
</file>

<file path=customXml/itemProps26.xml><?xml version="1.0" encoding="utf-8"?>
<ds:datastoreItem xmlns:ds="http://schemas.openxmlformats.org/officeDocument/2006/customXml" ds:itemID="{8E336410-91B8-4186-964B-8BDB6721FCC7}">
  <ds:schemaRefs/>
</ds:datastoreItem>
</file>

<file path=customXml/itemProps27.xml><?xml version="1.0" encoding="utf-8"?>
<ds:datastoreItem xmlns:ds="http://schemas.openxmlformats.org/officeDocument/2006/customXml" ds:itemID="{3BFDA0C5-DA72-4445-A26D-2E1BA5591C4C}">
  <ds:schemaRefs/>
</ds:datastoreItem>
</file>

<file path=customXml/itemProps28.xml><?xml version="1.0" encoding="utf-8"?>
<ds:datastoreItem xmlns:ds="http://schemas.openxmlformats.org/officeDocument/2006/customXml" ds:itemID="{EC8575AC-D6CA-499C-8F5C-84B8848EDAB4}">
  <ds:schemaRefs/>
</ds:datastoreItem>
</file>

<file path=customXml/itemProps29.xml><?xml version="1.0" encoding="utf-8"?>
<ds:datastoreItem xmlns:ds="http://schemas.openxmlformats.org/officeDocument/2006/customXml" ds:itemID="{9F1D710F-0D57-4FCC-A23F-13EA925A71F2}">
  <ds:schemaRefs/>
</ds:datastoreItem>
</file>

<file path=customXml/itemProps30.xml><?xml version="1.0" encoding="utf-8"?>
<ds:datastoreItem xmlns:ds="http://schemas.openxmlformats.org/officeDocument/2006/customXml" ds:itemID="{15DCB29B-F277-4C1D-9684-91161A3455A3}">
  <ds:schemaRefs/>
</ds:datastoreItem>
</file>

<file path=customXml/itemProps31.xml><?xml version="1.0" encoding="utf-8"?>
<ds:datastoreItem xmlns:ds="http://schemas.openxmlformats.org/officeDocument/2006/customXml" ds:itemID="{E22C3BDE-109C-4D57-958E-FD2AABA71247}">
  <ds:schemaRefs/>
</ds:datastoreItem>
</file>

<file path=customXml/itemProps32.xml><?xml version="1.0" encoding="utf-8"?>
<ds:datastoreItem xmlns:ds="http://schemas.openxmlformats.org/officeDocument/2006/customXml" ds:itemID="{E8ECE994-92F7-451B-B4CD-EDF558D1D6AA}">
  <ds:schemaRefs/>
</ds:datastoreItem>
</file>

<file path=customXml/itemProps33.xml><?xml version="1.0" encoding="utf-8"?>
<ds:datastoreItem xmlns:ds="http://schemas.openxmlformats.org/officeDocument/2006/customXml" ds:itemID="{1B8BBEF3-A4DE-4AC1-B2C6-10F5F3F9C0D8}">
  <ds:schemaRefs/>
</ds:datastoreItem>
</file>

<file path=customXml/itemProps34.xml><?xml version="1.0" encoding="utf-8"?>
<ds:datastoreItem xmlns:ds="http://schemas.openxmlformats.org/officeDocument/2006/customXml" ds:itemID="{6760235D-198E-4433-9A98-6C9B94BADC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 kamal eldin Abdelaziz</dc:creator>
  <cp:lastModifiedBy>Reem kamal eldin Abdelaziz</cp:lastModifiedBy>
  <dcterms:created xsi:type="dcterms:W3CDTF">2026-04-22T20:58:02Z</dcterms:created>
  <dcterms:modified xsi:type="dcterms:W3CDTF">2026-04-29T23:07:18Z</dcterms:modified>
</cp:coreProperties>
</file>